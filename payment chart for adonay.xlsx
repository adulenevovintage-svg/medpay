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hila\Desktop\"/>
    </mc:Choice>
  </mc:AlternateContent>
  <xr:revisionPtr revIDLastSave="0" documentId="13_ncr:1_{9FE2845A-5932-4315-B991-6AA34389A597}" xr6:coauthVersionLast="47" xr6:coauthVersionMax="47" xr10:uidLastSave="{00000000-0000-0000-0000-000000000000}"/>
  <bookViews>
    <workbookView xWindow="-120" yWindow="-120" windowWidth="24240" windowHeight="13140" firstSheet="2" activeTab="10" xr2:uid="{00000000-000D-0000-FFFF-FFFF00000000}"/>
  </bookViews>
  <sheets>
    <sheet name="Int - Neu" sheetId="1" r:id="rId1"/>
    <sheet name="Surgery" sheetId="6" r:id="rId2"/>
    <sheet name="ped neuro" sheetId="4" r:id="rId3"/>
    <sheet name="Radiology" sheetId="2" r:id="rId4"/>
    <sheet name="GP" sheetId="7" r:id="rId5"/>
    <sheet name="Nurses" sheetId="3" r:id="rId6"/>
    <sheet name="OR ICU" sheetId="8" r:id="rId7"/>
    <sheet name="Labs" sheetId="10" r:id="rId8"/>
    <sheet name="Others" sheetId="9" r:id="rId9"/>
    <sheet name="Physiotherapy" sheetId="11" r:id="rId10"/>
    <sheet name="Construction" sheetId="12" r:id="rId11"/>
  </sheets>
  <definedNames>
    <definedName name="_xlnm.Print_Titles" localSheetId="0">'Int - Neu'!$A:$A</definedName>
    <definedName name="_xlnm.Print_Titles" localSheetId="5">Nurses!$A:$A</definedName>
    <definedName name="_xlnm.Print_Titles" localSheetId="6">'OR ICU'!$A:$A</definedName>
    <definedName name="_xlnm.Print_Titles" localSheetId="1">Surgery!$A:$A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W8" i="3" l="1"/>
  <c r="AY8" i="3"/>
  <c r="AE8" i="3"/>
  <c r="AO8" i="3"/>
  <c r="E10" i="12"/>
  <c r="I3" i="12"/>
  <c r="G3" i="12"/>
  <c r="E3" i="12"/>
  <c r="C3" i="12"/>
  <c r="I2" i="12"/>
  <c r="I10" i="12" s="1"/>
  <c r="G2" i="12"/>
  <c r="G10" i="12" s="1"/>
  <c r="E2" i="12"/>
  <c r="C2" i="12"/>
  <c r="C10" i="12" s="1"/>
  <c r="AQ4" i="9"/>
  <c r="AQ12" i="9" s="1"/>
  <c r="Y24" i="6" l="1"/>
  <c r="Y23" i="6"/>
  <c r="Y19" i="6"/>
  <c r="Y18" i="6"/>
  <c r="Y17" i="6"/>
  <c r="Y16" i="6"/>
  <c r="Y15" i="6"/>
  <c r="Y14" i="6"/>
  <c r="Y13" i="6"/>
  <c r="Y12" i="6"/>
  <c r="Y11" i="6"/>
  <c r="Y10" i="6"/>
  <c r="Y9" i="6"/>
  <c r="Y8" i="6"/>
  <c r="X6" i="6"/>
  <c r="Y6" i="6" s="1"/>
  <c r="Y30" i="6" l="1"/>
  <c r="U4" i="9"/>
  <c r="U12" i="9" s="1"/>
  <c r="S6" i="10"/>
  <c r="O17" i="8"/>
  <c r="M17" i="8"/>
  <c r="AE24" i="6"/>
  <c r="AE23" i="6"/>
  <c r="AE19" i="6"/>
  <c r="AE18" i="6"/>
  <c r="AE17" i="6"/>
  <c r="AE16" i="6"/>
  <c r="AE15" i="6"/>
  <c r="AE14" i="6"/>
  <c r="AE13" i="6"/>
  <c r="AE12" i="6"/>
  <c r="AE11" i="6"/>
  <c r="AE10" i="6"/>
  <c r="AE9" i="6"/>
  <c r="AE8" i="6"/>
  <c r="AD6" i="6"/>
  <c r="AE6" i="6" s="1"/>
  <c r="BK8" i="3"/>
  <c r="BK7" i="3"/>
  <c r="BK6" i="3"/>
  <c r="BK5" i="3"/>
  <c r="BK4" i="3"/>
  <c r="BK3" i="3"/>
  <c r="BK2" i="3"/>
  <c r="BK21" i="3" l="1"/>
  <c r="AE30" i="6"/>
  <c r="AG4" i="9"/>
  <c r="I4" i="9" l="1"/>
  <c r="I12" i="9" s="1"/>
  <c r="AK4" i="9"/>
  <c r="AK12" i="9" s="1"/>
  <c r="AS4" i="9"/>
  <c r="AS12" i="9" s="1"/>
  <c r="E13" i="7"/>
  <c r="C13" i="7"/>
  <c r="E3" i="7"/>
  <c r="I2" i="7"/>
  <c r="K2" i="7"/>
  <c r="M2" i="7"/>
  <c r="O2" i="7"/>
  <c r="G2" i="7"/>
  <c r="E4" i="7"/>
  <c r="G4" i="7"/>
  <c r="I4" i="7"/>
  <c r="K4" i="7"/>
  <c r="M4" i="7"/>
  <c r="O4" i="7"/>
  <c r="E5" i="7"/>
  <c r="G5" i="7"/>
  <c r="I5" i="7"/>
  <c r="K5" i="7"/>
  <c r="M5" i="7"/>
  <c r="O5" i="7"/>
  <c r="C2" i="7"/>
  <c r="G3" i="7"/>
  <c r="I3" i="7"/>
  <c r="K3" i="7"/>
  <c r="M3" i="7"/>
  <c r="O3" i="7"/>
  <c r="E2" i="7"/>
  <c r="C5" i="7"/>
  <c r="C4" i="7"/>
  <c r="U9" i="1"/>
  <c r="U8" i="1"/>
  <c r="S4" i="9" l="1"/>
  <c r="W4" i="9"/>
  <c r="Y4" i="9"/>
  <c r="AA4" i="9"/>
  <c r="AC4" i="9"/>
  <c r="AE4" i="9"/>
  <c r="AI4" i="9"/>
  <c r="AI12" i="9" s="1"/>
  <c r="AO4" i="9"/>
  <c r="Q4" i="9"/>
  <c r="O4" i="9"/>
  <c r="M4" i="9"/>
  <c r="K4" i="9"/>
  <c r="G4" i="9"/>
  <c r="E4" i="9"/>
  <c r="C4" i="9"/>
  <c r="W8" i="3"/>
  <c r="W7" i="3"/>
  <c r="W6" i="3"/>
  <c r="W5" i="3"/>
  <c r="W4" i="3"/>
  <c r="W3" i="3"/>
  <c r="W2" i="3"/>
  <c r="W21" i="3" l="1"/>
  <c r="Q12" i="9" l="1"/>
  <c r="AA12" i="9"/>
  <c r="AE12" i="9"/>
  <c r="E12" i="9"/>
  <c r="K12" i="9"/>
  <c r="AG24" i="6"/>
  <c r="AG23" i="6"/>
  <c r="AG19" i="6"/>
  <c r="AG18" i="6"/>
  <c r="AG17" i="6"/>
  <c r="AG16" i="6"/>
  <c r="AG15" i="6"/>
  <c r="AG14" i="6"/>
  <c r="AG13" i="6"/>
  <c r="AG12" i="6"/>
  <c r="AG11" i="6"/>
  <c r="AG10" i="6"/>
  <c r="AG9" i="6"/>
  <c r="AG8" i="6"/>
  <c r="AF6" i="6"/>
  <c r="AG6" i="6" s="1"/>
  <c r="AG30" i="6" l="1"/>
  <c r="C12" i="9"/>
  <c r="E18" i="1"/>
  <c r="C18" i="1"/>
  <c r="AE26" i="1"/>
  <c r="AE15" i="1"/>
  <c r="AD6" i="1"/>
  <c r="AE6" i="1" s="1"/>
  <c r="AE42" i="1" s="1"/>
  <c r="E17" i="3"/>
  <c r="AC39" i="1" l="1"/>
  <c r="AC38" i="1"/>
  <c r="O24" i="6"/>
  <c r="E14" i="8" l="1"/>
  <c r="G14" i="8"/>
  <c r="I14" i="8"/>
  <c r="K14" i="8"/>
  <c r="M14" i="8"/>
  <c r="O14" i="8"/>
  <c r="Q14" i="8"/>
  <c r="S14" i="8"/>
  <c r="U14" i="8"/>
  <c r="W14" i="8"/>
  <c r="Y14" i="8"/>
  <c r="C14" i="8"/>
  <c r="M13" i="7"/>
  <c r="M9" i="7"/>
  <c r="M6" i="7"/>
  <c r="K13" i="7"/>
  <c r="K9" i="7"/>
  <c r="K6" i="7"/>
  <c r="I13" i="7"/>
  <c r="I9" i="7"/>
  <c r="I6" i="7"/>
  <c r="G13" i="7"/>
  <c r="G9" i="7"/>
  <c r="G6" i="7"/>
  <c r="K20" i="7" l="1"/>
  <c r="G20" i="7"/>
  <c r="I20" i="7"/>
  <c r="M20" i="7"/>
  <c r="AY12" i="9"/>
  <c r="C17" i="6"/>
  <c r="K19" i="4"/>
  <c r="K18" i="4"/>
  <c r="K17" i="4"/>
  <c r="K16" i="4"/>
  <c r="K15" i="4"/>
  <c r="K14" i="4"/>
  <c r="K13" i="4"/>
  <c r="K12" i="4"/>
  <c r="K11" i="4"/>
  <c r="K10" i="4"/>
  <c r="K9" i="4"/>
  <c r="K8" i="4"/>
  <c r="I19" i="4"/>
  <c r="I18" i="4"/>
  <c r="I17" i="4"/>
  <c r="I16" i="4"/>
  <c r="I15" i="4"/>
  <c r="I14" i="4"/>
  <c r="I13" i="4"/>
  <c r="I12" i="4"/>
  <c r="I11" i="4"/>
  <c r="I10" i="4"/>
  <c r="I9" i="4"/>
  <c r="I8" i="4"/>
  <c r="G19" i="4"/>
  <c r="G18" i="4"/>
  <c r="G17" i="4"/>
  <c r="G16" i="4"/>
  <c r="G15" i="4"/>
  <c r="G14" i="4"/>
  <c r="G13" i="4"/>
  <c r="G12" i="4"/>
  <c r="G11" i="4"/>
  <c r="G10" i="4"/>
  <c r="G9" i="4"/>
  <c r="G8" i="4"/>
  <c r="E19" i="4"/>
  <c r="E18" i="4"/>
  <c r="E17" i="4"/>
  <c r="E16" i="4"/>
  <c r="E15" i="4"/>
  <c r="E14" i="4"/>
  <c r="E13" i="4"/>
  <c r="E12" i="4"/>
  <c r="E11" i="4"/>
  <c r="E10" i="4"/>
  <c r="E9" i="4"/>
  <c r="E8" i="4"/>
  <c r="C17" i="4"/>
  <c r="AW12" i="9"/>
  <c r="Q16" i="8"/>
  <c r="O16" i="8"/>
  <c r="M16" i="8"/>
  <c r="S16" i="8"/>
  <c r="I3" i="11"/>
  <c r="G3" i="11"/>
  <c r="E3" i="11"/>
  <c r="C3" i="11"/>
  <c r="I2" i="11"/>
  <c r="I10" i="11" s="1"/>
  <c r="G2" i="11"/>
  <c r="E2" i="11"/>
  <c r="E10" i="11" s="1"/>
  <c r="C2" i="11"/>
  <c r="S3" i="10"/>
  <c r="S2" i="10"/>
  <c r="BG8" i="3"/>
  <c r="BG7" i="3"/>
  <c r="BG6" i="3"/>
  <c r="BG5" i="3"/>
  <c r="BG4" i="3"/>
  <c r="BG3" i="3"/>
  <c r="BG2" i="3"/>
  <c r="BE8" i="3"/>
  <c r="BE7" i="3"/>
  <c r="BE6" i="3"/>
  <c r="BE5" i="3"/>
  <c r="BE4" i="3"/>
  <c r="BE3" i="3"/>
  <c r="BE2" i="3"/>
  <c r="E3" i="10"/>
  <c r="G3" i="10"/>
  <c r="I3" i="10"/>
  <c r="K3" i="10"/>
  <c r="M3" i="10"/>
  <c r="O3" i="10"/>
  <c r="Q3" i="10"/>
  <c r="C3" i="10"/>
  <c r="E2" i="10"/>
  <c r="G2" i="10"/>
  <c r="I2" i="10"/>
  <c r="I11" i="10" s="1"/>
  <c r="K2" i="10"/>
  <c r="K11" i="10" s="1"/>
  <c r="M2" i="10"/>
  <c r="M11" i="10" s="1"/>
  <c r="O2" i="10"/>
  <c r="O11" i="10" s="1"/>
  <c r="Q2" i="10"/>
  <c r="Q11" i="10" s="1"/>
  <c r="C2" i="10"/>
  <c r="AO12" i="9"/>
  <c r="AM12" i="9"/>
  <c r="AU12" i="9"/>
  <c r="AG12" i="9"/>
  <c r="G11" i="10" l="1"/>
  <c r="E11" i="10"/>
  <c r="S11" i="10"/>
  <c r="BE21" i="3"/>
  <c r="BG21" i="3"/>
  <c r="G10" i="11"/>
  <c r="C10" i="11"/>
  <c r="C11" i="10"/>
  <c r="AY19" i="3"/>
  <c r="BC8" i="3"/>
  <c r="BA8" i="3"/>
  <c r="BM8" i="3"/>
  <c r="AS8" i="3"/>
  <c r="AQ8" i="3"/>
  <c r="AM8" i="3"/>
  <c r="BI8" i="3"/>
  <c r="O8" i="3"/>
  <c r="AK8" i="3"/>
  <c r="AI8" i="3"/>
  <c r="AG8" i="3"/>
  <c r="M8" i="3"/>
  <c r="Y35" i="1"/>
  <c r="Y34" i="1"/>
  <c r="Y33" i="1"/>
  <c r="K8" i="3"/>
  <c r="U8" i="3"/>
  <c r="AC8" i="3"/>
  <c r="AA8" i="3"/>
  <c r="Y8" i="3"/>
  <c r="I8" i="3"/>
  <c r="G8" i="3"/>
  <c r="S8" i="3"/>
  <c r="Q8" i="3"/>
  <c r="E8" i="3"/>
  <c r="C8" i="3"/>
  <c r="BC7" i="3"/>
  <c r="BA7" i="3"/>
  <c r="AY7" i="3"/>
  <c r="AW7" i="3"/>
  <c r="AU7" i="3"/>
  <c r="BM7" i="3"/>
  <c r="AS7" i="3"/>
  <c r="AQ7" i="3"/>
  <c r="AO7" i="3"/>
  <c r="AM7" i="3"/>
  <c r="BI7" i="3"/>
  <c r="O7" i="3"/>
  <c r="AK7" i="3"/>
  <c r="AI7" i="3"/>
  <c r="AG7" i="3"/>
  <c r="M7" i="3"/>
  <c r="K7" i="3"/>
  <c r="AE7" i="3"/>
  <c r="U7" i="3"/>
  <c r="AC7" i="3"/>
  <c r="AA7" i="3"/>
  <c r="Y7" i="3"/>
  <c r="I7" i="3"/>
  <c r="G7" i="3"/>
  <c r="S7" i="3"/>
  <c r="Q7" i="3"/>
  <c r="E7" i="3"/>
  <c r="C7" i="3"/>
  <c r="G12" i="9"/>
  <c r="AC12" i="9"/>
  <c r="Y12" i="9"/>
  <c r="W12" i="9"/>
  <c r="S12" i="9"/>
  <c r="BA12" i="9"/>
  <c r="O12" i="9"/>
  <c r="M12" i="9"/>
  <c r="BC6" i="3"/>
  <c r="BC5" i="3"/>
  <c r="BC4" i="3"/>
  <c r="BC3" i="3"/>
  <c r="BC2" i="3"/>
  <c r="C6" i="3"/>
  <c r="C5" i="3"/>
  <c r="C4" i="3"/>
  <c r="C3" i="3"/>
  <c r="C2" i="3"/>
  <c r="W7" i="8"/>
  <c r="U7" i="8"/>
  <c r="W6" i="8"/>
  <c r="U6" i="8"/>
  <c r="W5" i="8"/>
  <c r="U5" i="8"/>
  <c r="W4" i="8"/>
  <c r="U4" i="8"/>
  <c r="W3" i="8"/>
  <c r="U3" i="8"/>
  <c r="W2" i="8"/>
  <c r="U2" i="8"/>
  <c r="S7" i="8"/>
  <c r="S6" i="8"/>
  <c r="S5" i="8"/>
  <c r="S4" i="8"/>
  <c r="S3" i="8"/>
  <c r="S2" i="8"/>
  <c r="Q7" i="8"/>
  <c r="Y7" i="8"/>
  <c r="O7" i="8"/>
  <c r="M7" i="8"/>
  <c r="K7" i="8"/>
  <c r="I7" i="8"/>
  <c r="G7" i="8"/>
  <c r="E7" i="8"/>
  <c r="C7" i="8"/>
  <c r="Q6" i="8"/>
  <c r="Y6" i="8"/>
  <c r="O6" i="8"/>
  <c r="M6" i="8"/>
  <c r="K6" i="8"/>
  <c r="I6" i="8"/>
  <c r="G6" i="8"/>
  <c r="E6" i="8"/>
  <c r="C6" i="8"/>
  <c r="Q5" i="8"/>
  <c r="Y5" i="8"/>
  <c r="O5" i="8"/>
  <c r="M5" i="8"/>
  <c r="K5" i="8"/>
  <c r="I5" i="8"/>
  <c r="G5" i="8"/>
  <c r="E5" i="8"/>
  <c r="C5" i="8"/>
  <c r="Q4" i="8"/>
  <c r="Y4" i="8"/>
  <c r="O4" i="8"/>
  <c r="M4" i="8"/>
  <c r="K4" i="8"/>
  <c r="I4" i="8"/>
  <c r="G4" i="8"/>
  <c r="E4" i="8"/>
  <c r="C4" i="8"/>
  <c r="Q3" i="8"/>
  <c r="Y3" i="8"/>
  <c r="O3" i="8"/>
  <c r="M3" i="8"/>
  <c r="K3" i="8"/>
  <c r="I3" i="8"/>
  <c r="G3" i="8"/>
  <c r="E3" i="8"/>
  <c r="C3" i="8"/>
  <c r="Q2" i="8"/>
  <c r="Y2" i="8"/>
  <c r="O2" i="8"/>
  <c r="M2" i="8"/>
  <c r="K2" i="8"/>
  <c r="I2" i="8"/>
  <c r="G2" i="8"/>
  <c r="E2" i="8"/>
  <c r="C2" i="8"/>
  <c r="BA6" i="3"/>
  <c r="BA5" i="3"/>
  <c r="BA4" i="3"/>
  <c r="BA3" i="3"/>
  <c r="BA2" i="3"/>
  <c r="AU8" i="3"/>
  <c r="AY6" i="3"/>
  <c r="AY5" i="3"/>
  <c r="AY4" i="3"/>
  <c r="AY3" i="3"/>
  <c r="AY2" i="3"/>
  <c r="AW6" i="3"/>
  <c r="AW5" i="3"/>
  <c r="AW4" i="3"/>
  <c r="AW3" i="3"/>
  <c r="AW2" i="3"/>
  <c r="AU6" i="3"/>
  <c r="AU5" i="3"/>
  <c r="AU4" i="3"/>
  <c r="AU3" i="3"/>
  <c r="AU2" i="3"/>
  <c r="O4" i="3"/>
  <c r="BM4" i="3"/>
  <c r="AS4" i="3"/>
  <c r="AQ4" i="3"/>
  <c r="AO4" i="3"/>
  <c r="AM4" i="3"/>
  <c r="BI4" i="3"/>
  <c r="AK4" i="3"/>
  <c r="AI4" i="3"/>
  <c r="AG4" i="3"/>
  <c r="M4" i="3"/>
  <c r="K4" i="3"/>
  <c r="AE4" i="3"/>
  <c r="U4" i="3"/>
  <c r="AC4" i="3"/>
  <c r="AA4" i="3"/>
  <c r="Y4" i="3"/>
  <c r="I4" i="3"/>
  <c r="G4" i="3"/>
  <c r="S4" i="3"/>
  <c r="Q4" i="3"/>
  <c r="BM6" i="3"/>
  <c r="AS6" i="3"/>
  <c r="AQ6" i="3"/>
  <c r="AO6" i="3"/>
  <c r="AM6" i="3"/>
  <c r="BI6" i="3"/>
  <c r="O6" i="3"/>
  <c r="AK6" i="3"/>
  <c r="AI6" i="3"/>
  <c r="AG6" i="3"/>
  <c r="M6" i="3"/>
  <c r="K6" i="3"/>
  <c r="AE6" i="3"/>
  <c r="U6" i="3"/>
  <c r="AC6" i="3"/>
  <c r="AA6" i="3"/>
  <c r="Y6" i="3"/>
  <c r="I6" i="3"/>
  <c r="G6" i="3"/>
  <c r="S6" i="3"/>
  <c r="Q6" i="3"/>
  <c r="E6" i="3"/>
  <c r="E2" i="3"/>
  <c r="E4" i="3"/>
  <c r="BM5" i="3"/>
  <c r="AS5" i="3"/>
  <c r="AQ5" i="3"/>
  <c r="AO5" i="3"/>
  <c r="BM3" i="3"/>
  <c r="AS3" i="3"/>
  <c r="AQ3" i="3"/>
  <c r="AO3" i="3"/>
  <c r="BM2" i="3"/>
  <c r="AS2" i="3"/>
  <c r="AQ2" i="3"/>
  <c r="AO2" i="3"/>
  <c r="AM5" i="3"/>
  <c r="AM3" i="3"/>
  <c r="AM2" i="3"/>
  <c r="BI5" i="3"/>
  <c r="BI3" i="3"/>
  <c r="BI2" i="3"/>
  <c r="O5" i="3"/>
  <c r="O3" i="3"/>
  <c r="O2" i="3"/>
  <c r="O13" i="7"/>
  <c r="O31" i="1"/>
  <c r="O24" i="1"/>
  <c r="O23" i="1"/>
  <c r="O9" i="7"/>
  <c r="O6" i="7"/>
  <c r="O20" i="7" s="1"/>
  <c r="AK5" i="3"/>
  <c r="AI5" i="3"/>
  <c r="AG5" i="3"/>
  <c r="M5" i="3"/>
  <c r="K5" i="3"/>
  <c r="AE5" i="3"/>
  <c r="U5" i="3"/>
  <c r="AK3" i="3"/>
  <c r="AI3" i="3"/>
  <c r="AG3" i="3"/>
  <c r="M3" i="3"/>
  <c r="K3" i="3"/>
  <c r="AE3" i="3"/>
  <c r="U3" i="3"/>
  <c r="AK2" i="3"/>
  <c r="AI2" i="3"/>
  <c r="AG2" i="3"/>
  <c r="M2" i="3"/>
  <c r="K2" i="3"/>
  <c r="AE2" i="3"/>
  <c r="U2" i="3"/>
  <c r="AC5" i="3"/>
  <c r="AA5" i="3"/>
  <c r="I5" i="3"/>
  <c r="Y5" i="3"/>
  <c r="AC3" i="3"/>
  <c r="AA3" i="3"/>
  <c r="I3" i="3"/>
  <c r="Y3" i="3"/>
  <c r="AC2" i="3"/>
  <c r="AA2" i="3"/>
  <c r="I2" i="3"/>
  <c r="Y2" i="3"/>
  <c r="G5" i="3"/>
  <c r="S5" i="3"/>
  <c r="G3" i="3"/>
  <c r="S3" i="3"/>
  <c r="G2" i="3"/>
  <c r="S2" i="3"/>
  <c r="Q5" i="3"/>
  <c r="Q3" i="3"/>
  <c r="Q2" i="3"/>
  <c r="AI24" i="6"/>
  <c r="AI23" i="6"/>
  <c r="AI19" i="6"/>
  <c r="AI18" i="6"/>
  <c r="AI17" i="6"/>
  <c r="AI16" i="6"/>
  <c r="AI15" i="6"/>
  <c r="AI14" i="6"/>
  <c r="AI13" i="6"/>
  <c r="AI12" i="6"/>
  <c r="AI11" i="6"/>
  <c r="AI10" i="6"/>
  <c r="AI9" i="6"/>
  <c r="AI8" i="6"/>
  <c r="AH6" i="6"/>
  <c r="AI6" i="6" s="1"/>
  <c r="AM24" i="6"/>
  <c r="AM23" i="6"/>
  <c r="AM19" i="6"/>
  <c r="AM18" i="6"/>
  <c r="AM17" i="6"/>
  <c r="AM16" i="6"/>
  <c r="AM15" i="6"/>
  <c r="AM14" i="6"/>
  <c r="AM13" i="6"/>
  <c r="AM12" i="6"/>
  <c r="AM11" i="6"/>
  <c r="AM10" i="6"/>
  <c r="AM9" i="6"/>
  <c r="AM8" i="6"/>
  <c r="AL6" i="6"/>
  <c r="AM6" i="6" s="1"/>
  <c r="C24" i="6"/>
  <c r="E24" i="6"/>
  <c r="AO24" i="6"/>
  <c r="AK24" i="6"/>
  <c r="AC24" i="6"/>
  <c r="AA24" i="6"/>
  <c r="W24" i="6"/>
  <c r="U24" i="6"/>
  <c r="S24" i="6"/>
  <c r="Q24" i="6"/>
  <c r="M24" i="6"/>
  <c r="K24" i="6"/>
  <c r="I24" i="6"/>
  <c r="G24" i="6"/>
  <c r="C25" i="6"/>
  <c r="AK23" i="6"/>
  <c r="AK19" i="6"/>
  <c r="AK18" i="6"/>
  <c r="AK17" i="6"/>
  <c r="AK16" i="6"/>
  <c r="AK15" i="6"/>
  <c r="AK14" i="6"/>
  <c r="AK13" i="6"/>
  <c r="AK12" i="6"/>
  <c r="AK11" i="6"/>
  <c r="AK10" i="6"/>
  <c r="AK9" i="6"/>
  <c r="AK8" i="6"/>
  <c r="AJ6" i="6"/>
  <c r="AK6" i="6" s="1"/>
  <c r="AC23" i="6"/>
  <c r="AC19" i="6"/>
  <c r="AC18" i="6"/>
  <c r="AC17" i="6"/>
  <c r="AC16" i="6"/>
  <c r="AC15" i="6"/>
  <c r="AC14" i="6"/>
  <c r="AC13" i="6"/>
  <c r="AC12" i="6"/>
  <c r="AC11" i="6"/>
  <c r="AC10" i="6"/>
  <c r="AC9" i="6"/>
  <c r="AC8" i="6"/>
  <c r="AB6" i="6"/>
  <c r="AC6" i="6" s="1"/>
  <c r="AA23" i="6"/>
  <c r="AA19" i="6"/>
  <c r="AA18" i="6"/>
  <c r="AA17" i="6"/>
  <c r="AA16" i="6"/>
  <c r="AA15" i="6"/>
  <c r="AA14" i="6"/>
  <c r="AA13" i="6"/>
  <c r="AA12" i="6"/>
  <c r="AA11" i="6"/>
  <c r="AA10" i="6"/>
  <c r="AA9" i="6"/>
  <c r="AA8" i="6"/>
  <c r="Z6" i="6"/>
  <c r="AA6" i="6" s="1"/>
  <c r="AM30" i="6" l="1"/>
  <c r="AO21" i="3"/>
  <c r="AI30" i="6"/>
  <c r="G19" i="8"/>
  <c r="O19" i="8"/>
  <c r="C19" i="8"/>
  <c r="I19" i="8"/>
  <c r="Y19" i="8"/>
  <c r="K19" i="8"/>
  <c r="Q19" i="8"/>
  <c r="U19" i="8"/>
  <c r="E19" i="8"/>
  <c r="M19" i="8"/>
  <c r="W19" i="8"/>
  <c r="AK30" i="6"/>
  <c r="AA30" i="6"/>
  <c r="Y21" i="3"/>
  <c r="I21" i="3"/>
  <c r="AQ21" i="3"/>
  <c r="BM21" i="3"/>
  <c r="AM21" i="3"/>
  <c r="S19" i="8"/>
  <c r="AC21" i="3"/>
  <c r="M21" i="3"/>
  <c r="AI21" i="3"/>
  <c r="AI23" i="3" s="1"/>
  <c r="AK21" i="3"/>
  <c r="AS21" i="3"/>
  <c r="BA21" i="3"/>
  <c r="BC21" i="3"/>
  <c r="G21" i="3"/>
  <c r="C21" i="3"/>
  <c r="AE21" i="3"/>
  <c r="Q21" i="3"/>
  <c r="S21" i="3"/>
  <c r="AA21" i="3"/>
  <c r="U21" i="3"/>
  <c r="K21" i="3"/>
  <c r="AG21" i="3"/>
  <c r="AY21" i="3"/>
  <c r="AW21" i="3"/>
  <c r="BI21" i="3"/>
  <c r="AU21" i="3"/>
  <c r="O21" i="3"/>
  <c r="AC30" i="6"/>
  <c r="W23" i="6" l="1"/>
  <c r="W19" i="6"/>
  <c r="W18" i="6"/>
  <c r="W17" i="6"/>
  <c r="W16" i="6"/>
  <c r="W15" i="6"/>
  <c r="W14" i="6"/>
  <c r="W13" i="6"/>
  <c r="W12" i="6"/>
  <c r="W11" i="6"/>
  <c r="W10" i="6"/>
  <c r="W9" i="6"/>
  <c r="W8" i="6"/>
  <c r="V6" i="6"/>
  <c r="W6" i="6" s="1"/>
  <c r="W30" i="6" l="1"/>
  <c r="U23" i="6"/>
  <c r="U19" i="6"/>
  <c r="U18" i="6"/>
  <c r="U17" i="6"/>
  <c r="U16" i="6"/>
  <c r="U15" i="6"/>
  <c r="U14" i="6"/>
  <c r="U13" i="6"/>
  <c r="U12" i="6"/>
  <c r="U11" i="6"/>
  <c r="U10" i="6"/>
  <c r="U9" i="6"/>
  <c r="U8" i="6"/>
  <c r="T6" i="6"/>
  <c r="U6" i="6" s="1"/>
  <c r="K23" i="6"/>
  <c r="K19" i="6"/>
  <c r="K18" i="6"/>
  <c r="K17" i="6"/>
  <c r="K16" i="6"/>
  <c r="K15" i="6"/>
  <c r="K14" i="6"/>
  <c r="K13" i="6"/>
  <c r="K12" i="6"/>
  <c r="K11" i="6"/>
  <c r="K10" i="6"/>
  <c r="K9" i="6"/>
  <c r="K8" i="6"/>
  <c r="J6" i="6"/>
  <c r="K6" i="6" s="1"/>
  <c r="AC15" i="1"/>
  <c r="AC25" i="1"/>
  <c r="AC24" i="1"/>
  <c r="AC23" i="1"/>
  <c r="AC22" i="1"/>
  <c r="AC21" i="1"/>
  <c r="AC20" i="1"/>
  <c r="AC19" i="1"/>
  <c r="AC18" i="1"/>
  <c r="AC17" i="1"/>
  <c r="AC16" i="1"/>
  <c r="AC14" i="1"/>
  <c r="AC11" i="1"/>
  <c r="AC13" i="1"/>
  <c r="AC12" i="1"/>
  <c r="AC10" i="1"/>
  <c r="AC9" i="1"/>
  <c r="AC8" i="1"/>
  <c r="AC6" i="1"/>
  <c r="H6" i="1"/>
  <c r="Z6" i="1"/>
  <c r="AA6" i="1" s="1"/>
  <c r="X6" i="1"/>
  <c r="Y6" i="1" s="1"/>
  <c r="V6" i="1"/>
  <c r="J6" i="1"/>
  <c r="K6" i="1" s="1"/>
  <c r="AA15" i="1"/>
  <c r="AA25" i="1"/>
  <c r="AA24" i="1"/>
  <c r="AA23" i="1"/>
  <c r="AA22" i="1"/>
  <c r="AA21" i="1"/>
  <c r="AA20" i="1"/>
  <c r="AA19" i="1"/>
  <c r="AA18" i="1"/>
  <c r="AA17" i="1"/>
  <c r="AA16" i="1"/>
  <c r="AA14" i="1"/>
  <c r="AA11" i="1"/>
  <c r="AA13" i="1"/>
  <c r="AA12" i="1"/>
  <c r="AA10" i="1"/>
  <c r="AA9" i="1"/>
  <c r="AA8" i="1"/>
  <c r="Y15" i="1"/>
  <c r="Y25" i="1"/>
  <c r="Y24" i="1"/>
  <c r="Y23" i="1"/>
  <c r="Y22" i="1"/>
  <c r="Y21" i="1"/>
  <c r="Y20" i="1"/>
  <c r="Y19" i="1"/>
  <c r="Y18" i="1"/>
  <c r="Y17" i="1"/>
  <c r="Y16" i="1"/>
  <c r="Y14" i="1"/>
  <c r="Y11" i="1"/>
  <c r="Y13" i="1"/>
  <c r="Y12" i="1"/>
  <c r="Y10" i="1"/>
  <c r="Y9" i="1"/>
  <c r="Y8" i="1"/>
  <c r="W15" i="1"/>
  <c r="W25" i="1"/>
  <c r="W24" i="1"/>
  <c r="W23" i="1"/>
  <c r="W22" i="1"/>
  <c r="W21" i="1"/>
  <c r="W20" i="1"/>
  <c r="W19" i="1"/>
  <c r="W18" i="1"/>
  <c r="W17" i="1"/>
  <c r="W16" i="1"/>
  <c r="W14" i="1"/>
  <c r="W11" i="1"/>
  <c r="W13" i="1"/>
  <c r="W12" i="1"/>
  <c r="W10" i="1"/>
  <c r="W9" i="1"/>
  <c r="W8" i="1"/>
  <c r="W6" i="1"/>
  <c r="E23" i="6"/>
  <c r="E19" i="6"/>
  <c r="E18" i="6"/>
  <c r="E17" i="6"/>
  <c r="E16" i="6"/>
  <c r="E15" i="6"/>
  <c r="E14" i="6"/>
  <c r="E13" i="6"/>
  <c r="E12" i="6"/>
  <c r="E11" i="6"/>
  <c r="E10" i="6"/>
  <c r="E9" i="6"/>
  <c r="E8" i="6"/>
  <c r="D6" i="6"/>
  <c r="E6" i="6" s="1"/>
  <c r="K15" i="1"/>
  <c r="K25" i="1"/>
  <c r="K24" i="1"/>
  <c r="K23" i="1"/>
  <c r="K22" i="1"/>
  <c r="K21" i="1"/>
  <c r="K20" i="1"/>
  <c r="K19" i="1"/>
  <c r="K18" i="1"/>
  <c r="K17" i="1"/>
  <c r="K16" i="1"/>
  <c r="K14" i="1"/>
  <c r="K11" i="1"/>
  <c r="K13" i="1"/>
  <c r="K12" i="1"/>
  <c r="K10" i="1"/>
  <c r="K9" i="1"/>
  <c r="K8" i="1"/>
  <c r="C19" i="4"/>
  <c r="C3" i="7"/>
  <c r="S26" i="1"/>
  <c r="Q26" i="1"/>
  <c r="O26" i="1"/>
  <c r="M26" i="1"/>
  <c r="U26" i="1"/>
  <c r="I26" i="1"/>
  <c r="I27" i="1"/>
  <c r="E9" i="7"/>
  <c r="C9" i="7"/>
  <c r="E6" i="7"/>
  <c r="E20" i="7" s="1"/>
  <c r="S23" i="6"/>
  <c r="Q23" i="6"/>
  <c r="O23" i="6"/>
  <c r="M23" i="6"/>
  <c r="AO23" i="6"/>
  <c r="I23" i="6"/>
  <c r="G23" i="6"/>
  <c r="C23" i="6"/>
  <c r="S19" i="6"/>
  <c r="Q19" i="6"/>
  <c r="O19" i="6"/>
  <c r="M19" i="6"/>
  <c r="AO19" i="6"/>
  <c r="I19" i="6"/>
  <c r="G19" i="6"/>
  <c r="S18" i="6"/>
  <c r="Q18" i="6"/>
  <c r="O18" i="6"/>
  <c r="M18" i="6"/>
  <c r="AO18" i="6"/>
  <c r="I18" i="6"/>
  <c r="G18" i="6"/>
  <c r="S17" i="6"/>
  <c r="Q17" i="6"/>
  <c r="O17" i="6"/>
  <c r="M17" i="6"/>
  <c r="AO17" i="6"/>
  <c r="I17" i="6"/>
  <c r="G17" i="6"/>
  <c r="S16" i="6"/>
  <c r="Q16" i="6"/>
  <c r="O16" i="6"/>
  <c r="M16" i="6"/>
  <c r="AO16" i="6"/>
  <c r="I16" i="6"/>
  <c r="G16" i="6"/>
  <c r="C16" i="6"/>
  <c r="S15" i="6"/>
  <c r="Q15" i="6"/>
  <c r="O15" i="6"/>
  <c r="M15" i="6"/>
  <c r="AO15" i="6"/>
  <c r="I15" i="6"/>
  <c r="G15" i="6"/>
  <c r="C15" i="6"/>
  <c r="S14" i="6"/>
  <c r="Q14" i="6"/>
  <c r="O14" i="6"/>
  <c r="M14" i="6"/>
  <c r="AO14" i="6"/>
  <c r="I14" i="6"/>
  <c r="G14" i="6"/>
  <c r="C14" i="6"/>
  <c r="S13" i="6"/>
  <c r="Q13" i="6"/>
  <c r="O13" i="6"/>
  <c r="M13" i="6"/>
  <c r="AO13" i="6"/>
  <c r="I13" i="6"/>
  <c r="G13" i="6"/>
  <c r="C13" i="6"/>
  <c r="S12" i="6"/>
  <c r="Q12" i="6"/>
  <c r="O12" i="6"/>
  <c r="M12" i="6"/>
  <c r="AO12" i="6"/>
  <c r="I12" i="6"/>
  <c r="G12" i="6"/>
  <c r="C12" i="6"/>
  <c r="S11" i="6"/>
  <c r="Q11" i="6"/>
  <c r="O11" i="6"/>
  <c r="M11" i="6"/>
  <c r="AO11" i="6"/>
  <c r="I11" i="6"/>
  <c r="G11" i="6"/>
  <c r="C11" i="6"/>
  <c r="S10" i="6"/>
  <c r="Q10" i="6"/>
  <c r="O10" i="6"/>
  <c r="M10" i="6"/>
  <c r="AO10" i="6"/>
  <c r="I10" i="6"/>
  <c r="G10" i="6"/>
  <c r="C10" i="6"/>
  <c r="S9" i="6"/>
  <c r="Q9" i="6"/>
  <c r="O9" i="6"/>
  <c r="M9" i="6"/>
  <c r="AO9" i="6"/>
  <c r="I9" i="6"/>
  <c r="G9" i="6"/>
  <c r="C9" i="6"/>
  <c r="S8" i="6"/>
  <c r="Q8" i="6"/>
  <c r="O8" i="6"/>
  <c r="M8" i="6"/>
  <c r="AO8" i="6"/>
  <c r="I8" i="6"/>
  <c r="G8" i="6"/>
  <c r="C8" i="6"/>
  <c r="R6" i="6"/>
  <c r="S6" i="6" s="1"/>
  <c r="P6" i="6"/>
  <c r="Q6" i="6" s="1"/>
  <c r="N6" i="6"/>
  <c r="O6" i="6" s="1"/>
  <c r="L6" i="6"/>
  <c r="M6" i="6" s="1"/>
  <c r="AN6" i="6"/>
  <c r="AO6" i="6" s="1"/>
  <c r="H6" i="6"/>
  <c r="I6" i="6" s="1"/>
  <c r="F6" i="6"/>
  <c r="G6" i="6" s="1"/>
  <c r="B6" i="6"/>
  <c r="C6" i="6" s="1"/>
  <c r="S15" i="1"/>
  <c r="S25" i="1"/>
  <c r="S24" i="1"/>
  <c r="S23" i="1"/>
  <c r="S22" i="1"/>
  <c r="S21" i="1"/>
  <c r="S20" i="1"/>
  <c r="S19" i="1"/>
  <c r="S18" i="1"/>
  <c r="S17" i="1"/>
  <c r="S16" i="1"/>
  <c r="S14" i="1"/>
  <c r="S11" i="1"/>
  <c r="S13" i="1"/>
  <c r="S12" i="1"/>
  <c r="S10" i="1"/>
  <c r="S9" i="1"/>
  <c r="S8" i="1"/>
  <c r="R6" i="1"/>
  <c r="S6" i="1" s="1"/>
  <c r="Q15" i="1"/>
  <c r="Q25" i="1"/>
  <c r="Q24" i="1"/>
  <c r="Q23" i="1"/>
  <c r="Q22" i="1"/>
  <c r="Q21" i="1"/>
  <c r="Q20" i="1"/>
  <c r="Q19" i="1"/>
  <c r="Q18" i="1"/>
  <c r="Q17" i="1"/>
  <c r="Q16" i="1"/>
  <c r="Q14" i="1"/>
  <c r="Q11" i="1"/>
  <c r="Q13" i="1"/>
  <c r="Q12" i="1"/>
  <c r="Q10" i="1"/>
  <c r="Q9" i="1"/>
  <c r="Q8" i="1"/>
  <c r="P6" i="1"/>
  <c r="Q6" i="1" s="1"/>
  <c r="O15" i="1"/>
  <c r="O25" i="1"/>
  <c r="O22" i="1"/>
  <c r="O21" i="1"/>
  <c r="O20" i="1"/>
  <c r="O19" i="1"/>
  <c r="O18" i="1"/>
  <c r="O17" i="1"/>
  <c r="O16" i="1"/>
  <c r="O14" i="1"/>
  <c r="O11" i="1"/>
  <c r="O13" i="1"/>
  <c r="O12" i="1"/>
  <c r="O10" i="1"/>
  <c r="O9" i="1"/>
  <c r="O8" i="1"/>
  <c r="N6" i="1"/>
  <c r="O6" i="1" s="1"/>
  <c r="G20" i="1"/>
  <c r="M20" i="1"/>
  <c r="I20" i="1"/>
  <c r="M15" i="1"/>
  <c r="M25" i="1"/>
  <c r="M24" i="1"/>
  <c r="M23" i="1"/>
  <c r="M22" i="1"/>
  <c r="M21" i="1"/>
  <c r="M19" i="1"/>
  <c r="M18" i="1"/>
  <c r="M17" i="1"/>
  <c r="M16" i="1"/>
  <c r="M14" i="1"/>
  <c r="M11" i="1"/>
  <c r="M13" i="1"/>
  <c r="M12" i="1"/>
  <c r="M10" i="1"/>
  <c r="M9" i="1"/>
  <c r="M8" i="1"/>
  <c r="U15" i="1"/>
  <c r="I15" i="1"/>
  <c r="I25" i="1"/>
  <c r="I24" i="1"/>
  <c r="I23" i="1"/>
  <c r="I22" i="1"/>
  <c r="I21" i="1"/>
  <c r="I19" i="1"/>
  <c r="I18" i="1"/>
  <c r="I17" i="1"/>
  <c r="I16" i="1"/>
  <c r="I14" i="1"/>
  <c r="I11" i="1"/>
  <c r="I13" i="1"/>
  <c r="I12" i="1"/>
  <c r="I10" i="1"/>
  <c r="I9" i="1"/>
  <c r="I8" i="1"/>
  <c r="Q42" i="1" l="1"/>
  <c r="S42" i="1"/>
  <c r="M30" i="6"/>
  <c r="G30" i="6"/>
  <c r="I30" i="6"/>
  <c r="E30" i="6"/>
  <c r="C30" i="6"/>
  <c r="W42" i="1"/>
  <c r="U30" i="6"/>
  <c r="O42" i="1"/>
  <c r="AC42" i="1"/>
  <c r="K30" i="6"/>
  <c r="AO30" i="6"/>
  <c r="O30" i="6"/>
  <c r="S30" i="6"/>
  <c r="Q30" i="6"/>
  <c r="AA42" i="1"/>
  <c r="Y42" i="1"/>
  <c r="K42" i="1"/>
  <c r="C20" i="7"/>
  <c r="G14" i="1" l="1"/>
  <c r="G8" i="1"/>
  <c r="E10" i="1"/>
  <c r="E15" i="1"/>
  <c r="E17" i="1"/>
  <c r="E16" i="1"/>
  <c r="E14" i="1"/>
  <c r="E11" i="1"/>
  <c r="E13" i="1"/>
  <c r="E12" i="1"/>
  <c r="E9" i="1"/>
  <c r="E8" i="1"/>
  <c r="C8" i="1"/>
  <c r="C10" i="4"/>
  <c r="C11" i="4"/>
  <c r="C12" i="4"/>
  <c r="C13" i="4"/>
  <c r="C14" i="4"/>
  <c r="C18" i="4"/>
  <c r="C9" i="4"/>
  <c r="C8" i="4"/>
  <c r="M14" i="2"/>
  <c r="M13" i="2"/>
  <c r="I13" i="2"/>
  <c r="O14" i="2"/>
  <c r="K14" i="2"/>
  <c r="I14" i="2"/>
  <c r="G14" i="2"/>
  <c r="E14" i="2"/>
  <c r="C14" i="2"/>
  <c r="O13" i="2"/>
  <c r="K13" i="2"/>
  <c r="G13" i="2"/>
  <c r="E13" i="2"/>
  <c r="C13" i="2"/>
  <c r="C16" i="4"/>
  <c r="C15" i="4"/>
  <c r="J6" i="4"/>
  <c r="K6" i="4" s="1"/>
  <c r="H6" i="4"/>
  <c r="F6" i="4"/>
  <c r="D6" i="4"/>
  <c r="E6" i="4" s="1"/>
  <c r="E24" i="4" s="1"/>
  <c r="B6" i="4"/>
  <c r="C6" i="4" s="1"/>
  <c r="I6" i="4" l="1"/>
  <c r="I24" i="4" s="1"/>
  <c r="G6" i="4"/>
  <c r="G24" i="4" s="1"/>
  <c r="K24" i="4"/>
  <c r="C24" i="4"/>
  <c r="C11" i="2"/>
  <c r="E11" i="2"/>
  <c r="G11" i="2"/>
  <c r="I11" i="2"/>
  <c r="K11" i="2"/>
  <c r="M11" i="2"/>
  <c r="O11" i="2"/>
  <c r="K10" i="2"/>
  <c r="I10" i="2"/>
  <c r="K7" i="2"/>
  <c r="K4" i="2"/>
  <c r="I4" i="2"/>
  <c r="I7" i="2"/>
  <c r="M4" i="2" l="1"/>
  <c r="M7" i="2"/>
  <c r="M10" i="2" l="1"/>
  <c r="M8" i="2"/>
  <c r="M5" i="2"/>
  <c r="E5" i="3"/>
  <c r="E3" i="3"/>
  <c r="O10" i="2"/>
  <c r="O8" i="2"/>
  <c r="O7" i="2"/>
  <c r="O5" i="2"/>
  <c r="O4" i="2"/>
  <c r="G15" i="1"/>
  <c r="D6" i="1"/>
  <c r="E6" i="1" s="1"/>
  <c r="E42" i="1" s="1"/>
  <c r="G19" i="1"/>
  <c r="C15" i="1"/>
  <c r="K8" i="2"/>
  <c r="K5" i="2"/>
  <c r="I8" i="2"/>
  <c r="I5" i="2"/>
  <c r="G10" i="2"/>
  <c r="G8" i="2"/>
  <c r="G7" i="2"/>
  <c r="G5" i="2"/>
  <c r="G4" i="2"/>
  <c r="E10" i="2"/>
  <c r="E8" i="2"/>
  <c r="E7" i="2"/>
  <c r="E5" i="2"/>
  <c r="E4" i="2"/>
  <c r="C10" i="2"/>
  <c r="C8" i="2"/>
  <c r="C7" i="2"/>
  <c r="C5" i="2"/>
  <c r="C4" i="2"/>
  <c r="L6" i="1"/>
  <c r="M6" i="1" s="1"/>
  <c r="M42" i="1" s="1"/>
  <c r="T6" i="1"/>
  <c r="U6" i="1" s="1"/>
  <c r="U42" i="1" s="1"/>
  <c r="I6" i="1"/>
  <c r="I42" i="1" s="1"/>
  <c r="G25" i="1"/>
  <c r="G24" i="1"/>
  <c r="G23" i="1"/>
  <c r="G22" i="1"/>
  <c r="G21" i="1"/>
  <c r="G18" i="1"/>
  <c r="G9" i="1"/>
  <c r="G17" i="1"/>
  <c r="G16" i="1"/>
  <c r="G11" i="1"/>
  <c r="G13" i="1"/>
  <c r="G12" i="1"/>
  <c r="G10" i="1"/>
  <c r="F6" i="1"/>
  <c r="G6" i="1" s="1"/>
  <c r="C9" i="1"/>
  <c r="C17" i="1"/>
  <c r="C16" i="1"/>
  <c r="C14" i="1"/>
  <c r="C11" i="1"/>
  <c r="C13" i="1"/>
  <c r="C12" i="1"/>
  <c r="C10" i="1"/>
  <c r="B6" i="1"/>
  <c r="C6" i="1" s="1"/>
  <c r="E16" i="2" l="1"/>
  <c r="G42" i="1"/>
  <c r="O16" i="2"/>
  <c r="E21" i="3"/>
  <c r="M16" i="2"/>
  <c r="G16" i="2"/>
  <c r="K16" i="2"/>
  <c r="C16" i="2"/>
  <c r="I16" i="2"/>
  <c r="C42" i="1"/>
</calcChain>
</file>

<file path=xl/sharedStrings.xml><?xml version="1.0" encoding="utf-8"?>
<sst xmlns="http://schemas.openxmlformats.org/spreadsheetml/2006/main" count="322" uniqueCount="219">
  <si>
    <t>tew lab pay</t>
  </si>
  <si>
    <t>lideta lab pay</t>
  </si>
  <si>
    <t xml:space="preserve">lideta lab cretit </t>
  </si>
  <si>
    <t xml:space="preserve">ultrasound </t>
  </si>
  <si>
    <t>Echo</t>
  </si>
  <si>
    <t>doppler</t>
  </si>
  <si>
    <t>ECG</t>
  </si>
  <si>
    <t>xray</t>
  </si>
  <si>
    <t>depo</t>
  </si>
  <si>
    <t>physiotherapy- pay</t>
  </si>
  <si>
    <t>physiotherapy-credit</t>
  </si>
  <si>
    <t>MRI</t>
  </si>
  <si>
    <t>card pay</t>
  </si>
  <si>
    <t>card credit</t>
  </si>
  <si>
    <t>NCS one</t>
  </si>
  <si>
    <t>NCS two</t>
  </si>
  <si>
    <t>EMG one</t>
  </si>
  <si>
    <t>EMG two</t>
  </si>
  <si>
    <t>signature</t>
  </si>
  <si>
    <t xml:space="preserve">EEG send </t>
  </si>
  <si>
    <t>EEG read</t>
  </si>
  <si>
    <t>neuropsychology</t>
  </si>
  <si>
    <t>Dr Nebiyou</t>
  </si>
  <si>
    <t xml:space="preserve">tew lab credit </t>
  </si>
  <si>
    <t xml:space="preserve">Evoked Potenial </t>
  </si>
  <si>
    <t xml:space="preserve">Procedure </t>
  </si>
  <si>
    <t>Assistant</t>
  </si>
  <si>
    <t>Dr Yonas</t>
  </si>
  <si>
    <t>ultrasound pay</t>
  </si>
  <si>
    <t>ultrasound credit</t>
  </si>
  <si>
    <t>Doppler pay</t>
  </si>
  <si>
    <t>Doppler Credit</t>
  </si>
  <si>
    <t>MRI total</t>
  </si>
  <si>
    <t>Dr Tequam</t>
  </si>
  <si>
    <t>Dr Samson ashene</t>
  </si>
  <si>
    <t>Dr elsabeth</t>
  </si>
  <si>
    <t>Dr Amanuel</t>
  </si>
  <si>
    <t>Spiometry</t>
  </si>
  <si>
    <t>Rahel T/Birhan</t>
  </si>
  <si>
    <t>Prof Daniel</t>
  </si>
  <si>
    <t xml:space="preserve">Vital sign </t>
  </si>
  <si>
    <t>EKG</t>
  </si>
  <si>
    <t>Spirometry</t>
  </si>
  <si>
    <t>EEG</t>
  </si>
  <si>
    <t>Endoscopy</t>
  </si>
  <si>
    <t>overtime</t>
  </si>
  <si>
    <t>Night Duty</t>
  </si>
  <si>
    <t>Sr. Meaza</t>
  </si>
  <si>
    <t>U/S Echo/ doppler</t>
  </si>
  <si>
    <t>Headship</t>
  </si>
  <si>
    <t>Dr Gashaw</t>
  </si>
  <si>
    <t>Xray pay</t>
  </si>
  <si>
    <t>Xray credit</t>
  </si>
  <si>
    <t>Dr Kindu</t>
  </si>
  <si>
    <t>Dr Endayen</t>
  </si>
  <si>
    <t>Dr Meskerem</t>
  </si>
  <si>
    <t>Dr Behailu</t>
  </si>
  <si>
    <t>ECHO pay</t>
  </si>
  <si>
    <t>ECHO credit</t>
  </si>
  <si>
    <t xml:space="preserve">Dr Ayalew </t>
  </si>
  <si>
    <t>card</t>
  </si>
  <si>
    <t>Dr Samson</t>
  </si>
  <si>
    <t>Dr Solomie</t>
  </si>
  <si>
    <t>Dr Mehila</t>
  </si>
  <si>
    <t xml:space="preserve">Dr Abenet </t>
  </si>
  <si>
    <t xml:space="preserve">Dr Eskindir </t>
  </si>
  <si>
    <t>Dr Abenezer</t>
  </si>
  <si>
    <t xml:space="preserve">Dr Yoseph </t>
  </si>
  <si>
    <t>Dr Eyerus</t>
  </si>
  <si>
    <t>Dr Mekdim</t>
  </si>
  <si>
    <t xml:space="preserve">Dr Abat </t>
  </si>
  <si>
    <t>Dr Tedla</t>
  </si>
  <si>
    <t>Prof Lukman</t>
  </si>
  <si>
    <t>Biruk ketema</t>
  </si>
  <si>
    <t>Dr Getahun tarekegne</t>
  </si>
  <si>
    <t>Dr Yetagesu</t>
  </si>
  <si>
    <t xml:space="preserve">Dr. Ermias </t>
  </si>
  <si>
    <t>Dr. Geteye</t>
  </si>
  <si>
    <t>Dr Fistum</t>
  </si>
  <si>
    <t>Dr Bekin</t>
  </si>
  <si>
    <t>Dr Araya Tsega</t>
  </si>
  <si>
    <t>Dr Helina Legesse</t>
  </si>
  <si>
    <t>Dr Yared Nigussie</t>
  </si>
  <si>
    <t>Dr Yonathan Abebe</t>
  </si>
  <si>
    <t>Dr Getachew Jiregna</t>
  </si>
  <si>
    <t xml:space="preserve">consult ansthsa </t>
  </si>
  <si>
    <t>LP</t>
  </si>
  <si>
    <t>Sr. Atsede</t>
  </si>
  <si>
    <t>Sr. kbebush timrega</t>
  </si>
  <si>
    <t>Sr. Biruktawit A</t>
  </si>
  <si>
    <t>Salary</t>
  </si>
  <si>
    <t>Sr. Bethlem Ayenew</t>
  </si>
  <si>
    <t>Sr. hana Amakelew</t>
  </si>
  <si>
    <t>Sr. Afomina Zeleke</t>
  </si>
  <si>
    <t xml:space="preserve">Sr. Lia </t>
  </si>
  <si>
    <t>Sr. bereket melaku</t>
  </si>
  <si>
    <t>Sr. helina tilah</t>
  </si>
  <si>
    <t xml:space="preserve">Sr. Almtsehya </t>
  </si>
  <si>
    <t>Sr. Tereza Blay</t>
  </si>
  <si>
    <t xml:space="preserve">Sr. nigist </t>
  </si>
  <si>
    <t>Sr. Rahel</t>
  </si>
  <si>
    <t>Sr. Eyeusalm Lakew</t>
  </si>
  <si>
    <t>Sr. Amen tsgay</t>
  </si>
  <si>
    <t>Sr. Tsion Endale</t>
  </si>
  <si>
    <t>Sr. Helen Tesfaye</t>
  </si>
  <si>
    <t>Sr. Ymesrach Getnet</t>
  </si>
  <si>
    <t>OR</t>
  </si>
  <si>
    <t>Eyerus HO</t>
  </si>
  <si>
    <t>Ato Fasika HO</t>
  </si>
  <si>
    <t xml:space="preserve">Sr. Mastewal </t>
  </si>
  <si>
    <t>Xray</t>
  </si>
  <si>
    <t>Sr. Eyerusalm Abebe</t>
  </si>
  <si>
    <t xml:space="preserve">Ato Desalgn. </t>
  </si>
  <si>
    <t>Ato Habtamu</t>
  </si>
  <si>
    <t xml:space="preserve">Askale hailu </t>
  </si>
  <si>
    <t>Sr. Almnesh Kebde</t>
  </si>
  <si>
    <t>Sr. Almaz</t>
  </si>
  <si>
    <t>Salary net</t>
  </si>
  <si>
    <t>Salary basic</t>
  </si>
  <si>
    <t>Total</t>
  </si>
  <si>
    <t>Sr. michael nigussie</t>
  </si>
  <si>
    <t>Sr. Senait</t>
  </si>
  <si>
    <t xml:space="preserve"> Bethlem Asefa</t>
  </si>
  <si>
    <t>evoked</t>
  </si>
  <si>
    <t>Nurse kasahun</t>
  </si>
  <si>
    <t>Sr. Meseret Nigusu</t>
  </si>
  <si>
    <t>Colonoscopy</t>
  </si>
  <si>
    <t>biopsy</t>
  </si>
  <si>
    <t>Yewbdar</t>
  </si>
  <si>
    <t>Eyob x ray</t>
  </si>
  <si>
    <t>x-ray</t>
  </si>
  <si>
    <t>c-arm</t>
  </si>
  <si>
    <t>Genet Mezgebu</t>
  </si>
  <si>
    <t>Nega Tesema</t>
  </si>
  <si>
    <t xml:space="preserve">Yoseph Girma </t>
  </si>
  <si>
    <t>Sentayhu Zelke</t>
  </si>
  <si>
    <t>Derebe Elias</t>
  </si>
  <si>
    <t>Mekdes Nigussu</t>
  </si>
  <si>
    <t>Kalkidan Mezgebu</t>
  </si>
  <si>
    <t>Asnakech Atnafu</t>
  </si>
  <si>
    <t>Desta shiferaw</t>
  </si>
  <si>
    <t>topup</t>
  </si>
  <si>
    <t>Biruk Selshi</t>
  </si>
  <si>
    <t>Fetehalew Kibret</t>
  </si>
  <si>
    <t xml:space="preserve">Getnet Kidane </t>
  </si>
  <si>
    <t>salary net</t>
  </si>
  <si>
    <t xml:space="preserve">Getahun Seleshi </t>
  </si>
  <si>
    <t xml:space="preserve">Biruktawit Gezahegne </t>
  </si>
  <si>
    <t xml:space="preserve">Ibsa Kebede </t>
  </si>
  <si>
    <t>Evening Duty</t>
  </si>
  <si>
    <t>Sunday</t>
  </si>
  <si>
    <t>Holiday</t>
  </si>
  <si>
    <t>Meseret amare Dental</t>
  </si>
  <si>
    <t>Bezawit Abera</t>
  </si>
  <si>
    <t>Hiwot Mulugeta</t>
  </si>
  <si>
    <t>Shewadeg gebru</t>
  </si>
  <si>
    <t>Dawit Tibebu</t>
  </si>
  <si>
    <t>Seminew Lakew</t>
  </si>
  <si>
    <t>Hanna worknh</t>
  </si>
  <si>
    <t>ICU</t>
  </si>
  <si>
    <t>Tafese Bekele</t>
  </si>
  <si>
    <t>Birhan Tsegaye</t>
  </si>
  <si>
    <t>Genet Fita</t>
  </si>
  <si>
    <t>headship</t>
  </si>
  <si>
    <t>mekbib</t>
  </si>
  <si>
    <t>asefa mare</t>
  </si>
  <si>
    <t>Yordanos demeke</t>
  </si>
  <si>
    <t>Echo pay</t>
  </si>
  <si>
    <t>Echo credit</t>
  </si>
  <si>
    <t>Dr Yemesrach</t>
  </si>
  <si>
    <t>Dr Yamrot</t>
  </si>
  <si>
    <t>Dr Rediet</t>
  </si>
  <si>
    <t>MRI sedation</t>
  </si>
  <si>
    <t>Dr. bereket senshaw</t>
  </si>
  <si>
    <t>MRI requested</t>
  </si>
  <si>
    <t xml:space="preserve">MRI requested </t>
  </si>
  <si>
    <t>Dr Selamawit wale</t>
  </si>
  <si>
    <t>Prof Getahun neuro</t>
  </si>
  <si>
    <t>Dr Kibrekidusan onco</t>
  </si>
  <si>
    <t>Salary Gross</t>
  </si>
  <si>
    <t>Dr Elsabeth birhanu</t>
  </si>
  <si>
    <t>Tsegazeab</t>
  </si>
  <si>
    <t>Melaku</t>
  </si>
  <si>
    <t xml:space="preserve">others </t>
  </si>
  <si>
    <t>last mth +</t>
  </si>
  <si>
    <t>Ehete H/selass</t>
  </si>
  <si>
    <t>others (last month)</t>
  </si>
  <si>
    <t xml:space="preserve">Dr Getenet Abebe </t>
  </si>
  <si>
    <t>Dr Solomon Melkamu ORT</t>
  </si>
  <si>
    <t xml:space="preserve"> Bethlem Taye</t>
  </si>
  <si>
    <t>Sunday /holiday</t>
  </si>
  <si>
    <t>Roman Beshir</t>
  </si>
  <si>
    <t>Kalkidan Ephrem</t>
  </si>
  <si>
    <t>other ( last month)</t>
  </si>
  <si>
    <t>Sr. bethlem Hailu ped</t>
  </si>
  <si>
    <t>Basic Salary</t>
  </si>
  <si>
    <t>Sr. Genet MRI</t>
  </si>
  <si>
    <t>Dr Kidist Yemaneh</t>
  </si>
  <si>
    <t>Biniyam Taye</t>
  </si>
  <si>
    <t>Asaye Fantahun</t>
  </si>
  <si>
    <t>Tadalech xray</t>
  </si>
  <si>
    <t>Ejigayehu Takele</t>
  </si>
  <si>
    <t>bizunesh Katesha</t>
  </si>
  <si>
    <t>Sosina Ewnetu</t>
  </si>
  <si>
    <t>Salary Net</t>
  </si>
  <si>
    <t>Sr. Solomie</t>
  </si>
  <si>
    <t>Salary Basic</t>
  </si>
  <si>
    <t>Mekdes Alebachew</t>
  </si>
  <si>
    <t>Dr Bereket Bogale</t>
  </si>
  <si>
    <t>Dr Adametachew Geta plastic</t>
  </si>
  <si>
    <t>Mekonnen Ali</t>
  </si>
  <si>
    <t>Dr Kidist Nega</t>
  </si>
  <si>
    <t xml:space="preserve">Kinfe </t>
  </si>
  <si>
    <t>Abenet</t>
  </si>
  <si>
    <t>Fikru a</t>
  </si>
  <si>
    <t>Nurse Ashagare</t>
  </si>
  <si>
    <t>salary</t>
  </si>
  <si>
    <t>duty nxt</t>
  </si>
  <si>
    <t>deductable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</si>
</sst>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98">
    <xf numFmtId="0" fontId="0" fillId="0" borderId="0" xfId="0"/>
    <xf numFmtId="43" fontId="0" fillId="0" borderId="0" xfId="1" applyNumberFormat="1" applyFont="1"/>
    <xf numFmtId="43" fontId="0" fillId="0" borderId="0" xfId="0" applyNumberFormat="1"/>
    <xf numFmtId="43" fontId="0" fillId="0" borderId="3" xfId="1" applyNumberFormat="1" applyFont="1" applyBorder="1"/>
    <xf numFmtId="43" fontId="0" fillId="0" borderId="4" xfId="1" applyNumberFormat="1" applyFont="1" applyBorder="1"/>
    <xf numFmtId="0" fontId="0" fillId="0" borderId="3" xfId="1" applyNumberFormat="1" applyFont="1" applyBorder="1"/>
    <xf numFmtId="43" fontId="0" fillId="0" borderId="5" xfId="1" applyNumberFormat="1" applyFont="1" applyBorder="1"/>
    <xf numFmtId="43" fontId="0" fillId="0" borderId="6" xfId="1" applyNumberFormat="1" applyFont="1" applyBorder="1"/>
    <xf numFmtId="43" fontId="0" fillId="0" borderId="4" xfId="0" applyNumberFormat="1" applyBorder="1"/>
    <xf numFmtId="0" fontId="0" fillId="0" borderId="5" xfId="1" applyNumberFormat="1" applyFont="1" applyBorder="1"/>
    <xf numFmtId="43" fontId="0" fillId="0" borderId="6" xfId="0" applyNumberFormat="1" applyBorder="1"/>
    <xf numFmtId="0" fontId="0" fillId="0" borderId="0" xfId="1" applyNumberFormat="1" applyFont="1" applyBorder="1"/>
    <xf numFmtId="0" fontId="2" fillId="0" borderId="0" xfId="0" applyFont="1"/>
    <xf numFmtId="43" fontId="2" fillId="0" borderId="1" xfId="1" applyNumberFormat="1" applyFont="1" applyBorder="1"/>
    <xf numFmtId="43" fontId="2" fillId="0" borderId="2" xfId="1" applyNumberFormat="1" applyFont="1" applyBorder="1"/>
    <xf numFmtId="0" fontId="2" fillId="0" borderId="1" xfId="0" applyFont="1" applyBorder="1"/>
    <xf numFmtId="0" fontId="2" fillId="0" borderId="2" xfId="0" applyFont="1" applyBorder="1"/>
    <xf numFmtId="0" fontId="0" fillId="0" borderId="3" xfId="0" applyBorder="1"/>
    <xf numFmtId="9" fontId="0" fillId="0" borderId="3" xfId="0" applyNumberFormat="1" applyBorder="1"/>
    <xf numFmtId="0" fontId="0" fillId="0" borderId="4" xfId="0" applyBorder="1"/>
    <xf numFmtId="0" fontId="0" fillId="0" borderId="5" xfId="0" applyBorder="1"/>
    <xf numFmtId="9" fontId="0" fillId="0" borderId="0" xfId="0" applyNumberFormat="1"/>
    <xf numFmtId="0" fontId="0" fillId="0" borderId="7" xfId="0" applyBorder="1"/>
    <xf numFmtId="43" fontId="0" fillId="0" borderId="8" xfId="0" applyNumberFormat="1" applyBorder="1"/>
    <xf numFmtId="0" fontId="2" fillId="0" borderId="1" xfId="1" applyNumberFormat="1" applyFont="1" applyBorder="1"/>
    <xf numFmtId="0" fontId="0" fillId="2" borderId="0" xfId="0" applyFill="1"/>
    <xf numFmtId="43" fontId="0" fillId="2" borderId="3" xfId="1" applyNumberFormat="1" applyFont="1" applyFill="1" applyBorder="1"/>
    <xf numFmtId="43" fontId="0" fillId="2" borderId="4" xfId="1" applyNumberFormat="1" applyFont="1" applyFill="1" applyBorder="1"/>
    <xf numFmtId="43" fontId="0" fillId="0" borderId="4" xfId="2" applyFont="1" applyBorder="1"/>
    <xf numFmtId="43" fontId="0" fillId="0" borderId="6" xfId="2" applyFont="1" applyBorder="1"/>
    <xf numFmtId="43" fontId="0" fillId="0" borderId="0" xfId="2" applyFont="1"/>
    <xf numFmtId="43" fontId="0" fillId="0" borderId="8" xfId="2" applyFont="1" applyBorder="1"/>
    <xf numFmtId="43" fontId="0" fillId="0" borderId="3" xfId="2" applyFont="1" applyBorder="1"/>
    <xf numFmtId="43" fontId="0" fillId="0" borderId="5" xfId="2" applyFont="1" applyBorder="1"/>
    <xf numFmtId="43" fontId="0" fillId="0" borderId="7" xfId="2" applyFont="1" applyBorder="1"/>
    <xf numFmtId="43" fontId="0" fillId="3" borderId="0" xfId="2" applyFont="1" applyFill="1"/>
    <xf numFmtId="43" fontId="0" fillId="0" borderId="8" xfId="2" applyFont="1" applyFill="1" applyBorder="1"/>
    <xf numFmtId="43" fontId="0" fillId="0" borderId="7" xfId="2" applyFont="1" applyFill="1" applyBorder="1"/>
    <xf numFmtId="0" fontId="3" fillId="0" borderId="3" xfId="1" applyNumberFormat="1" applyFont="1" applyBorder="1"/>
    <xf numFmtId="43" fontId="0" fillId="3" borderId="0" xfId="1" applyNumberFormat="1" applyFont="1" applyFill="1"/>
    <xf numFmtId="43" fontId="0" fillId="4" borderId="3" xfId="2" applyFont="1" applyFill="1" applyBorder="1"/>
    <xf numFmtId="43" fontId="0" fillId="0" borderId="4" xfId="2" applyFont="1" applyFill="1" applyBorder="1"/>
    <xf numFmtId="43" fontId="0" fillId="5" borderId="8" xfId="2" applyFont="1" applyFill="1" applyBorder="1"/>
    <xf numFmtId="43" fontId="0" fillId="0" borderId="0" xfId="1" applyNumberFormat="1" applyFont="1" applyBorder="1"/>
    <xf numFmtId="0" fontId="0" fillId="2" borderId="3" xfId="1" applyNumberFormat="1" applyFont="1" applyFill="1" applyBorder="1"/>
    <xf numFmtId="0" fontId="0" fillId="2" borderId="3" xfId="0" applyFill="1" applyBorder="1"/>
    <xf numFmtId="43" fontId="0" fillId="5" borderId="0" xfId="0" applyNumberFormat="1" applyFill="1"/>
    <xf numFmtId="43" fontId="0" fillId="0" borderId="10" xfId="1" applyNumberFormat="1" applyFont="1" applyBorder="1"/>
    <xf numFmtId="0" fontId="0" fillId="0" borderId="10" xfId="0" applyBorder="1"/>
    <xf numFmtId="0" fontId="0" fillId="0" borderId="6" xfId="0" applyBorder="1"/>
    <xf numFmtId="0" fontId="0" fillId="0" borderId="13" xfId="0" applyBorder="1"/>
    <xf numFmtId="0" fontId="0" fillId="0" borderId="12" xfId="0" applyBorder="1"/>
    <xf numFmtId="43" fontId="4" fillId="0" borderId="1" xfId="1" applyNumberFormat="1" applyFont="1" applyBorder="1"/>
    <xf numFmtId="43" fontId="4" fillId="0" borderId="2" xfId="1" applyNumberFormat="1" applyFont="1" applyBorder="1"/>
    <xf numFmtId="0" fontId="4" fillId="0" borderId="14" xfId="0" applyFont="1" applyBorder="1"/>
    <xf numFmtId="43" fontId="4" fillId="0" borderId="9" xfId="1" applyNumberFormat="1" applyFont="1" applyBorder="1"/>
    <xf numFmtId="0" fontId="5" fillId="0" borderId="15" xfId="0" applyFont="1" applyBorder="1"/>
    <xf numFmtId="43" fontId="5" fillId="0" borderId="9" xfId="1" applyNumberFormat="1" applyFont="1" applyBorder="1"/>
    <xf numFmtId="43" fontId="5" fillId="0" borderId="2" xfId="1" applyNumberFormat="1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0" xfId="0" applyFont="1"/>
    <xf numFmtId="0" fontId="6" fillId="0" borderId="16" xfId="0" applyFont="1" applyBorder="1"/>
    <xf numFmtId="43" fontId="6" fillId="0" borderId="0" xfId="1" applyNumberFormat="1" applyFont="1" applyBorder="1"/>
    <xf numFmtId="43" fontId="6" fillId="0" borderId="4" xfId="1" applyNumberFormat="1" applyFont="1" applyBorder="1"/>
    <xf numFmtId="43" fontId="6" fillId="0" borderId="3" xfId="1" applyNumberFormat="1" applyFont="1" applyBorder="1"/>
    <xf numFmtId="0" fontId="6" fillId="0" borderId="0" xfId="0" applyFont="1"/>
    <xf numFmtId="0" fontId="6" fillId="2" borderId="16" xfId="0" applyFont="1" applyFill="1" applyBorder="1"/>
    <xf numFmtId="43" fontId="6" fillId="2" borderId="0" xfId="1" applyNumberFormat="1" applyFont="1" applyFill="1" applyBorder="1"/>
    <xf numFmtId="43" fontId="6" fillId="2" borderId="4" xfId="1" applyNumberFormat="1" applyFont="1" applyFill="1" applyBorder="1"/>
    <xf numFmtId="43" fontId="6" fillId="2" borderId="3" xfId="1" applyNumberFormat="1" applyFont="1" applyFill="1" applyBorder="1"/>
    <xf numFmtId="0" fontId="6" fillId="2" borderId="0" xfId="0" applyFont="1" applyFill="1"/>
    <xf numFmtId="0" fontId="6" fillId="0" borderId="0" xfId="1" applyNumberFormat="1" applyFont="1" applyBorder="1"/>
    <xf numFmtId="0" fontId="6" fillId="0" borderId="3" xfId="1" applyNumberFormat="1" applyFont="1" applyBorder="1"/>
    <xf numFmtId="43" fontId="6" fillId="0" borderId="4" xfId="1" applyNumberFormat="1" applyFont="1" applyFill="1" applyBorder="1"/>
    <xf numFmtId="43" fontId="6" fillId="0" borderId="4" xfId="0" applyNumberFormat="1" applyFont="1" applyBorder="1"/>
    <xf numFmtId="0" fontId="6" fillId="0" borderId="17" xfId="0" applyFont="1" applyBorder="1"/>
    <xf numFmtId="43" fontId="6" fillId="0" borderId="10" xfId="1" applyNumberFormat="1" applyFont="1" applyBorder="1"/>
    <xf numFmtId="43" fontId="6" fillId="0" borderId="6" xfId="1" applyNumberFormat="1" applyFont="1" applyBorder="1"/>
    <xf numFmtId="0" fontId="6" fillId="0" borderId="5" xfId="1" applyNumberFormat="1" applyFont="1" applyBorder="1"/>
    <xf numFmtId="43" fontId="6" fillId="0" borderId="6" xfId="0" applyNumberFormat="1" applyFont="1" applyBorder="1"/>
    <xf numFmtId="43" fontId="6" fillId="0" borderId="0" xfId="1" applyNumberFormat="1" applyFont="1"/>
    <xf numFmtId="43" fontId="6" fillId="3" borderId="0" xfId="1" applyNumberFormat="1" applyFont="1" applyFill="1"/>
    <xf numFmtId="43" fontId="6" fillId="0" borderId="0" xfId="0" applyNumberFormat="1" applyFont="1"/>
    <xf numFmtId="43" fontId="6" fillId="3" borderId="0" xfId="0" applyNumberFormat="1" applyFont="1" applyFill="1"/>
    <xf numFmtId="43" fontId="4" fillId="0" borderId="1" xfId="1" applyNumberFormat="1" applyFont="1" applyFill="1" applyBorder="1"/>
    <xf numFmtId="9" fontId="0" fillId="0" borderId="13" xfId="0" applyNumberFormat="1" applyBorder="1"/>
    <xf numFmtId="0" fontId="0" fillId="0" borderId="11" xfId="0" applyBorder="1"/>
    <xf numFmtId="9" fontId="0" fillId="0" borderId="5" xfId="0" applyNumberFormat="1" applyBorder="1"/>
    <xf numFmtId="43" fontId="4" fillId="0" borderId="9" xfId="1" applyNumberFormat="1" applyFont="1" applyFill="1" applyBorder="1"/>
    <xf numFmtId="43" fontId="4" fillId="0" borderId="2" xfId="1" applyNumberFormat="1" applyFont="1" applyFill="1" applyBorder="1"/>
    <xf numFmtId="0" fontId="0" fillId="0" borderId="0" xfId="1" applyNumberFormat="1" applyFont="1" applyFill="1" applyBorder="1"/>
    <xf numFmtId="43" fontId="0" fillId="0" borderId="4" xfId="1" applyNumberFormat="1" applyFont="1" applyFill="1" applyBorder="1"/>
    <xf numFmtId="0" fontId="0" fillId="0" borderId="3" xfId="1" applyNumberFormat="1" applyFont="1" applyFill="1" applyBorder="1"/>
    <xf numFmtId="43" fontId="0" fillId="0" borderId="0" xfId="2" applyFont="1" applyFill="1" applyBorder="1"/>
    <xf numFmtId="43" fontId="0" fillId="0" borderId="3" xfId="2" applyFont="1" applyFill="1" applyBorder="1"/>
    <xf numFmtId="43" fontId="0" fillId="0" borderId="0" xfId="2" applyFont="1" applyFill="1"/>
    <xf numFmtId="9" fontId="0" fillId="0" borderId="3" xfId="2" applyNumberFormat="1" applyFont="1" applyFill="1" applyBorder="1"/>
  </cellXfs>
  <cellStyles count="3">
    <cellStyle name="Comma" xfId="2" builtinId="3"/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E45"/>
  <sheetViews>
    <sheetView zoomScale="80" zoomScaleNormal="80" workbookViewId="0">
      <pane xSplit="1" topLeftCell="B1" activePane="topRight" state="frozen"/>
      <selection pane="topRight" activeCell="O36" sqref="O36"/>
    </sheetView>
  </sheetViews>
  <sheetFormatPr defaultRowHeight="15" x14ac:dyDescent="0.25"/>
  <cols>
    <col min="1" max="1" width="19.85546875" bestFit="1" customWidth="1"/>
    <col min="2" max="2" width="15.42578125" style="1" customWidth="1"/>
    <col min="3" max="3" width="12.140625" style="1" bestFit="1" customWidth="1"/>
    <col min="4" max="4" width="14.42578125" style="1" customWidth="1"/>
    <col min="5" max="5" width="12.140625" style="1" bestFit="1" customWidth="1"/>
    <col min="6" max="6" width="13.85546875" bestFit="1" customWidth="1"/>
    <col min="7" max="7" width="12.140625" bestFit="1" customWidth="1"/>
    <col min="8" max="9" width="13.28515625" bestFit="1" customWidth="1"/>
    <col min="10" max="10" width="13.85546875" bestFit="1" customWidth="1"/>
    <col min="11" max="11" width="13.140625" customWidth="1"/>
    <col min="12" max="14" width="13.28515625" bestFit="1" customWidth="1"/>
    <col min="15" max="15" width="12.140625" bestFit="1" customWidth="1"/>
    <col min="16" max="16" width="13.28515625" bestFit="1" customWidth="1"/>
    <col min="17" max="17" width="11.5703125" bestFit="1" customWidth="1"/>
    <col min="18" max="18" width="13.28515625" bestFit="1" customWidth="1"/>
    <col min="19" max="19" width="11.5703125" bestFit="1" customWidth="1"/>
    <col min="20" max="22" width="13.28515625" bestFit="1" customWidth="1"/>
    <col min="23" max="23" width="11.5703125" bestFit="1" customWidth="1"/>
    <col min="24" max="24" width="13.28515625" bestFit="1" customWidth="1"/>
    <col min="25" max="25" width="11.5703125" bestFit="1" customWidth="1"/>
    <col min="26" max="26" width="13.28515625" bestFit="1" customWidth="1"/>
    <col min="27" max="27" width="11.5703125" bestFit="1" customWidth="1"/>
    <col min="28" max="28" width="13.28515625" bestFit="1" customWidth="1"/>
    <col min="29" max="29" width="11.5703125" bestFit="1" customWidth="1"/>
    <col min="30" max="31" width="13.28515625" bestFit="1" customWidth="1"/>
  </cols>
  <sheetData>
    <row r="1" spans="1:31" s="12" customFormat="1" ht="15.75" x14ac:dyDescent="0.25">
      <c r="A1" s="15"/>
      <c r="B1" s="13" t="s">
        <v>173</v>
      </c>
      <c r="C1" s="14"/>
      <c r="D1" s="13" t="s">
        <v>38</v>
      </c>
      <c r="E1" s="14"/>
      <c r="F1" s="15" t="s">
        <v>61</v>
      </c>
      <c r="G1" s="16"/>
      <c r="H1" s="15" t="s">
        <v>73</v>
      </c>
      <c r="I1" s="16"/>
      <c r="J1" s="15" t="s">
        <v>71</v>
      </c>
      <c r="K1" s="16"/>
      <c r="L1" s="15" t="s">
        <v>62</v>
      </c>
      <c r="M1" s="16"/>
      <c r="N1" s="15" t="s">
        <v>63</v>
      </c>
      <c r="O1" s="16"/>
      <c r="P1" s="15" t="s">
        <v>64</v>
      </c>
      <c r="Q1" s="16"/>
      <c r="R1" s="15" t="s">
        <v>177</v>
      </c>
      <c r="S1" s="16"/>
      <c r="T1" s="15" t="s">
        <v>180</v>
      </c>
      <c r="U1" s="16"/>
      <c r="V1" s="15" t="s">
        <v>74</v>
      </c>
      <c r="W1" s="16"/>
      <c r="X1" s="15" t="s">
        <v>176</v>
      </c>
      <c r="Y1" s="16"/>
      <c r="Z1" s="15" t="s">
        <v>197</v>
      </c>
      <c r="AA1" s="16"/>
      <c r="AB1" s="15" t="s">
        <v>75</v>
      </c>
      <c r="AC1" s="16"/>
      <c r="AD1" s="15" t="s">
        <v>22</v>
      </c>
      <c r="AE1" s="16"/>
    </row>
    <row r="2" spans="1:31" x14ac:dyDescent="0.25">
      <c r="A2" s="17" t="s">
        <v>0</v>
      </c>
      <c r="B2" s="3"/>
      <c r="C2" s="4"/>
      <c r="D2" s="3"/>
      <c r="E2" s="4"/>
      <c r="F2" s="3"/>
      <c r="G2" s="4"/>
      <c r="H2" s="3"/>
      <c r="I2" s="4"/>
      <c r="J2" s="3"/>
      <c r="K2" s="4"/>
      <c r="L2" s="3"/>
      <c r="M2" s="4"/>
      <c r="N2" s="3"/>
      <c r="O2" s="4"/>
      <c r="P2" s="3"/>
      <c r="Q2" s="4"/>
      <c r="R2" s="3"/>
      <c r="S2" s="4"/>
      <c r="T2" s="3"/>
      <c r="U2" s="4"/>
      <c r="V2" s="3"/>
      <c r="W2" s="4"/>
      <c r="X2" s="3"/>
      <c r="Y2" s="4"/>
      <c r="Z2" s="3"/>
      <c r="AA2" s="4"/>
      <c r="AB2" s="3"/>
      <c r="AC2" s="4"/>
      <c r="AD2" s="3"/>
      <c r="AE2" s="4"/>
    </row>
    <row r="3" spans="1:31" s="25" customFormat="1" x14ac:dyDescent="0.25">
      <c r="A3" s="45" t="s">
        <v>23</v>
      </c>
      <c r="B3" s="26"/>
      <c r="C3" s="27"/>
      <c r="D3" s="26"/>
      <c r="F3" s="26"/>
      <c r="G3" s="27"/>
      <c r="H3" s="26"/>
      <c r="J3" s="26"/>
      <c r="K3" s="27"/>
      <c r="L3" s="26"/>
      <c r="M3" s="27"/>
      <c r="O3" s="27"/>
      <c r="P3" s="26"/>
      <c r="Q3" s="27"/>
      <c r="R3" s="26"/>
      <c r="S3" s="27"/>
      <c r="T3" s="26"/>
      <c r="U3" s="27"/>
      <c r="V3" s="26"/>
      <c r="W3" s="27"/>
      <c r="X3" s="26"/>
      <c r="Y3" s="27"/>
      <c r="AA3" s="27"/>
      <c r="AC3" s="27"/>
      <c r="AD3" s="26"/>
      <c r="AE3" s="27"/>
    </row>
    <row r="4" spans="1:31" x14ac:dyDescent="0.25">
      <c r="A4" s="17" t="s">
        <v>1</v>
      </c>
      <c r="B4" s="3"/>
      <c r="C4" s="4"/>
      <c r="D4" s="3"/>
      <c r="E4" s="4"/>
      <c r="F4" s="3"/>
      <c r="G4" s="4"/>
      <c r="H4" s="3"/>
      <c r="I4" s="4"/>
      <c r="J4" s="3"/>
      <c r="K4" s="4"/>
      <c r="L4" s="3"/>
      <c r="M4" s="4"/>
      <c r="N4" s="3"/>
      <c r="O4" s="4"/>
      <c r="P4" s="3"/>
      <c r="Q4" s="4"/>
      <c r="R4" s="3"/>
      <c r="S4" s="4"/>
      <c r="T4" s="3"/>
      <c r="U4" s="4"/>
      <c r="V4" s="3"/>
      <c r="W4" s="4"/>
      <c r="X4" s="3"/>
      <c r="Y4" s="4"/>
      <c r="Z4" s="3"/>
      <c r="AA4" s="4"/>
      <c r="AB4" s="3"/>
      <c r="AC4" s="4"/>
      <c r="AD4" s="3"/>
      <c r="AE4" s="4"/>
    </row>
    <row r="5" spans="1:31" s="25" customFormat="1" x14ac:dyDescent="0.25">
      <c r="A5" s="45" t="s">
        <v>2</v>
      </c>
      <c r="B5" s="26"/>
      <c r="C5" s="27"/>
      <c r="D5" s="26"/>
      <c r="E5" s="27"/>
      <c r="F5" s="26"/>
      <c r="G5" s="27"/>
      <c r="I5" s="27"/>
      <c r="J5" s="26"/>
      <c r="K5" s="27"/>
      <c r="L5" s="26"/>
      <c r="M5" s="27"/>
      <c r="N5" s="26"/>
      <c r="O5" s="27"/>
      <c r="P5" s="26"/>
      <c r="Q5" s="27"/>
      <c r="R5" s="26"/>
      <c r="S5" s="27"/>
      <c r="T5" s="26"/>
      <c r="U5" s="27"/>
      <c r="V5" s="26"/>
      <c r="W5" s="27"/>
      <c r="X5" s="26"/>
      <c r="Y5" s="27"/>
      <c r="Z5" s="26"/>
      <c r="AA5" s="27"/>
      <c r="AB5" s="26"/>
      <c r="AC5" s="27"/>
      <c r="AD5" s="26"/>
      <c r="AE5" s="27"/>
    </row>
    <row r="6" spans="1:31" x14ac:dyDescent="0.25">
      <c r="A6" s="17"/>
      <c r="B6" s="3">
        <f>SUM(B2:B5)</f>
        <v>0</v>
      </c>
      <c r="C6" s="4">
        <f>B6*0.02</f>
        <v>0</v>
      </c>
      <c r="D6" s="3">
        <f>SUM(D2:D5)</f>
        <v>0</v>
      </c>
      <c r="E6" s="4">
        <f>D6*0.02</f>
        <v>0</v>
      </c>
      <c r="F6" s="3">
        <f>SUM(F2:F5)</f>
        <v>0</v>
      </c>
      <c r="G6" s="4">
        <f>F6*0.02</f>
        <v>0</v>
      </c>
      <c r="H6" s="3">
        <f>SUM(H2:H5)</f>
        <v>0</v>
      </c>
      <c r="I6" s="4">
        <f>H6*0.02</f>
        <v>0</v>
      </c>
      <c r="J6" s="3">
        <f>SUM(J2:J5)</f>
        <v>0</v>
      </c>
      <c r="K6" s="4">
        <f>J6*0.02</f>
        <v>0</v>
      </c>
      <c r="L6" s="3">
        <f>SUM(L2:L5)</f>
        <v>0</v>
      </c>
      <c r="M6" s="4">
        <f>L6*0.02</f>
        <v>0</v>
      </c>
      <c r="N6" s="3">
        <f>SUM(N2:N5)</f>
        <v>0</v>
      </c>
      <c r="O6" s="4">
        <f>N6*0.02</f>
        <v>0</v>
      </c>
      <c r="P6" s="3">
        <f>SUM(P2:P5)</f>
        <v>0</v>
      </c>
      <c r="Q6" s="4">
        <f>P6*0.02</f>
        <v>0</v>
      </c>
      <c r="R6" s="3">
        <f>SUM(R2:R5)</f>
        <v>0</v>
      </c>
      <c r="S6" s="4">
        <f>R6*0.02</f>
        <v>0</v>
      </c>
      <c r="T6" s="3">
        <f>SUM(T2:T5)</f>
        <v>0</v>
      </c>
      <c r="U6" s="4">
        <f>T6*0.02</f>
        <v>0</v>
      </c>
      <c r="V6" s="3">
        <f>SUM(V2:V5)</f>
        <v>0</v>
      </c>
      <c r="W6" s="4">
        <f>V6*0.02</f>
        <v>0</v>
      </c>
      <c r="X6" s="3">
        <f>SUM(X2:X5)</f>
        <v>0</v>
      </c>
      <c r="Y6" s="4">
        <f>X6*0.02</f>
        <v>0</v>
      </c>
      <c r="Z6" s="3">
        <f>SUM(Z2:Z5)</f>
        <v>0</v>
      </c>
      <c r="AA6" s="4">
        <f>Z6*0.02</f>
        <v>0</v>
      </c>
      <c r="AB6" s="3"/>
      <c r="AC6" s="4">
        <f>AB6*0.02</f>
        <v>0</v>
      </c>
      <c r="AD6" s="3">
        <f>SUM(AD2:AD5)</f>
        <v>0</v>
      </c>
      <c r="AE6" s="4">
        <f>AD6*0.02</f>
        <v>0</v>
      </c>
    </row>
    <row r="7" spans="1:31" x14ac:dyDescent="0.25">
      <c r="A7" s="17"/>
      <c r="B7" s="3"/>
      <c r="C7" s="4"/>
      <c r="D7" s="3"/>
      <c r="E7" s="4"/>
      <c r="F7" s="3"/>
      <c r="G7" s="4"/>
      <c r="H7" s="3"/>
      <c r="I7" s="4"/>
      <c r="J7" s="3"/>
      <c r="K7" s="4"/>
      <c r="L7" s="3"/>
      <c r="M7" s="4"/>
      <c r="N7" s="3"/>
      <c r="O7" s="4"/>
      <c r="P7" s="3"/>
      <c r="Q7" s="4"/>
      <c r="R7" s="3"/>
      <c r="S7" s="4"/>
      <c r="T7" s="3"/>
      <c r="U7" s="4"/>
      <c r="V7" s="3"/>
      <c r="W7" s="4"/>
      <c r="X7" s="3"/>
      <c r="Y7" s="4"/>
      <c r="Z7" s="3"/>
      <c r="AA7" s="4"/>
      <c r="AB7" s="3"/>
      <c r="AC7" s="4"/>
      <c r="AD7" s="3"/>
      <c r="AE7" s="4"/>
    </row>
    <row r="8" spans="1:31" s="25" customFormat="1" x14ac:dyDescent="0.25">
      <c r="A8" s="45" t="s">
        <v>12</v>
      </c>
      <c r="B8" s="44"/>
      <c r="C8" s="27">
        <f>B8*1500*0.2</f>
        <v>0</v>
      </c>
      <c r="D8" s="44"/>
      <c r="E8" s="27">
        <f>D8*1500*0.2</f>
        <v>0</v>
      </c>
      <c r="F8" s="44"/>
      <c r="G8" s="27">
        <f>F8*1500*0.6</f>
        <v>0</v>
      </c>
      <c r="H8" s="44"/>
      <c r="I8" s="27">
        <f>H8*1500*0.6</f>
        <v>0</v>
      </c>
      <c r="J8" s="44"/>
      <c r="K8" s="27">
        <f>J8*1500*0.6</f>
        <v>0</v>
      </c>
      <c r="L8" s="44"/>
      <c r="M8" s="27">
        <f>L8*1500*0.6</f>
        <v>0</v>
      </c>
      <c r="N8" s="44"/>
      <c r="O8" s="27">
        <f>N8*1500*0.6</f>
        <v>0</v>
      </c>
      <c r="P8" s="44"/>
      <c r="Q8" s="27">
        <f>P8*1500*0.6</f>
        <v>0</v>
      </c>
      <c r="R8" s="44"/>
      <c r="S8" s="27">
        <f>R8*1500*0.6</f>
        <v>0</v>
      </c>
      <c r="T8" s="44"/>
      <c r="U8" s="27">
        <f>T8*1500*0.6</f>
        <v>0</v>
      </c>
      <c r="V8" s="44"/>
      <c r="W8" s="27">
        <f>V8*1500*0.6</f>
        <v>0</v>
      </c>
      <c r="X8" s="44"/>
      <c r="Y8" s="27">
        <f>X8*1500*0.6</f>
        <v>0</v>
      </c>
      <c r="Z8" s="44"/>
      <c r="AA8" s="27">
        <f>Z8*1500*0.6</f>
        <v>0</v>
      </c>
      <c r="AB8" s="44"/>
      <c r="AC8" s="27">
        <f>AB8*1500*0.6</f>
        <v>0</v>
      </c>
      <c r="AD8" s="44"/>
      <c r="AE8" s="27"/>
    </row>
    <row r="9" spans="1:31" x14ac:dyDescent="0.25">
      <c r="A9" s="17" t="s">
        <v>13</v>
      </c>
      <c r="B9" s="5"/>
      <c r="C9" s="4">
        <f>B9*800*0.2</f>
        <v>0</v>
      </c>
      <c r="D9" s="5"/>
      <c r="E9" s="4">
        <f>D9*800*0.2</f>
        <v>0</v>
      </c>
      <c r="F9" s="5"/>
      <c r="G9" s="4">
        <f>F9*800*0.6</f>
        <v>0</v>
      </c>
      <c r="H9" s="5"/>
      <c r="I9" s="4">
        <f>H9*800*0.6</f>
        <v>0</v>
      </c>
      <c r="J9" s="5"/>
      <c r="K9" s="4">
        <f>J9*800*0.6</f>
        <v>0</v>
      </c>
      <c r="L9" s="5"/>
      <c r="M9" s="4">
        <f>L9*800*0.6</f>
        <v>0</v>
      </c>
      <c r="N9" s="5"/>
      <c r="O9" s="4">
        <f>N9*800*0.6</f>
        <v>0</v>
      </c>
      <c r="P9" s="5"/>
      <c r="Q9" s="4">
        <f>P9*800*0.6</f>
        <v>0</v>
      </c>
      <c r="R9" s="5"/>
      <c r="S9" s="4">
        <f>R9*800*0.6</f>
        <v>0</v>
      </c>
      <c r="T9" s="5"/>
      <c r="U9" s="4">
        <f>T9*800*0.6</f>
        <v>0</v>
      </c>
      <c r="V9" s="5"/>
      <c r="W9" s="4">
        <f>V9*800*0.6</f>
        <v>0</v>
      </c>
      <c r="X9" s="5"/>
      <c r="Y9" s="4">
        <f>X9*800*0.6</f>
        <v>0</v>
      </c>
      <c r="Z9" s="5"/>
      <c r="AA9" s="4">
        <f>Z9*800*0.6</f>
        <v>0</v>
      </c>
      <c r="AB9" s="5"/>
      <c r="AC9" s="4">
        <f>AB9*800*0.6</f>
        <v>0</v>
      </c>
      <c r="AD9" s="5"/>
      <c r="AE9" s="4"/>
    </row>
    <row r="10" spans="1:31" x14ac:dyDescent="0.25">
      <c r="A10" s="17" t="s">
        <v>3</v>
      </c>
      <c r="B10" s="5"/>
      <c r="C10" s="4">
        <f>B10*100</f>
        <v>0</v>
      </c>
      <c r="D10" s="5"/>
      <c r="E10" s="4">
        <f>D10*100</f>
        <v>0</v>
      </c>
      <c r="F10" s="5"/>
      <c r="G10" s="4">
        <f>F10*100</f>
        <v>0</v>
      </c>
      <c r="H10" s="5"/>
      <c r="I10" s="4">
        <f>H10*100</f>
        <v>0</v>
      </c>
      <c r="J10" s="5"/>
      <c r="K10" s="4">
        <f>J10*100</f>
        <v>0</v>
      </c>
      <c r="L10" s="5"/>
      <c r="M10" s="4">
        <f>L10*100</f>
        <v>0</v>
      </c>
      <c r="N10" s="5"/>
      <c r="O10" s="4">
        <f>N10*100</f>
        <v>0</v>
      </c>
      <c r="P10" s="5"/>
      <c r="Q10" s="4">
        <f>P10*100</f>
        <v>0</v>
      </c>
      <c r="R10" s="5"/>
      <c r="S10" s="4">
        <f>R10*100</f>
        <v>0</v>
      </c>
      <c r="T10" s="5"/>
      <c r="U10" s="4"/>
      <c r="V10" s="5"/>
      <c r="W10" s="4">
        <f>V10*100</f>
        <v>0</v>
      </c>
      <c r="X10" s="5"/>
      <c r="Y10" s="4">
        <f>X10*100</f>
        <v>0</v>
      </c>
      <c r="Z10" s="5"/>
      <c r="AA10" s="4">
        <f>Z10*100</f>
        <v>0</v>
      </c>
      <c r="AB10" s="5"/>
      <c r="AC10" s="4">
        <f>AB10*100</f>
        <v>0</v>
      </c>
      <c r="AD10" s="5"/>
      <c r="AE10" s="4"/>
    </row>
    <row r="11" spans="1:31" x14ac:dyDescent="0.25">
      <c r="A11" s="17" t="s">
        <v>6</v>
      </c>
      <c r="B11" s="38"/>
      <c r="C11" s="4">
        <f>B11*60</f>
        <v>0</v>
      </c>
      <c r="D11" s="5"/>
      <c r="E11" s="4">
        <f>D11*60</f>
        <v>0</v>
      </c>
      <c r="F11" s="5"/>
      <c r="G11" s="4">
        <f>F11*60</f>
        <v>0</v>
      </c>
      <c r="H11" s="5"/>
      <c r="I11" s="4">
        <f>H11*60</f>
        <v>0</v>
      </c>
      <c r="J11" s="5"/>
      <c r="K11" s="4">
        <f>J11*60</f>
        <v>0</v>
      </c>
      <c r="L11" s="5"/>
      <c r="M11" s="4">
        <f>L11*60</f>
        <v>0</v>
      </c>
      <c r="N11" s="5"/>
      <c r="O11" s="4">
        <f>N11*60</f>
        <v>0</v>
      </c>
      <c r="P11" s="5"/>
      <c r="Q11" s="4">
        <f>P11*60</f>
        <v>0</v>
      </c>
      <c r="R11" s="5"/>
      <c r="S11" s="4">
        <f>R11*60</f>
        <v>0</v>
      </c>
      <c r="T11" s="5"/>
      <c r="U11" s="4"/>
      <c r="V11" s="5"/>
      <c r="W11" s="4">
        <f>V11*60</f>
        <v>0</v>
      </c>
      <c r="X11" s="5"/>
      <c r="Y11" s="4">
        <f>X11*60</f>
        <v>0</v>
      </c>
      <c r="Z11" s="5"/>
      <c r="AA11" s="4">
        <f>Z11*60</f>
        <v>0</v>
      </c>
      <c r="AB11" s="5"/>
      <c r="AC11" s="4">
        <f>AB11*60</f>
        <v>0</v>
      </c>
      <c r="AD11" s="5"/>
      <c r="AE11" s="4"/>
    </row>
    <row r="12" spans="1:31" x14ac:dyDescent="0.25">
      <c r="A12" s="17" t="s">
        <v>4</v>
      </c>
      <c r="B12" s="5"/>
      <c r="C12" s="4">
        <f>B12:B12*200</f>
        <v>0</v>
      </c>
      <c r="D12" s="5"/>
      <c r="E12" s="4">
        <f>D12:D12*200</f>
        <v>0</v>
      </c>
      <c r="F12" s="5"/>
      <c r="G12" s="4">
        <f>F12:F12*200</f>
        <v>0</v>
      </c>
      <c r="H12" s="5"/>
      <c r="I12" s="4">
        <f>H12:H12*200</f>
        <v>0</v>
      </c>
      <c r="J12" s="5"/>
      <c r="K12" s="4">
        <f>J12:J12*200</f>
        <v>0</v>
      </c>
      <c r="L12" s="5"/>
      <c r="M12" s="4">
        <f>L12:L12*200</f>
        <v>0</v>
      </c>
      <c r="N12" s="5"/>
      <c r="O12" s="4">
        <f>N12:N12*200</f>
        <v>0</v>
      </c>
      <c r="P12" s="5"/>
      <c r="Q12" s="4">
        <f>P12:P12*200</f>
        <v>0</v>
      </c>
      <c r="R12" s="5"/>
      <c r="S12" s="4">
        <f>R12:R12*200</f>
        <v>0</v>
      </c>
      <c r="T12" s="5"/>
      <c r="U12" s="4"/>
      <c r="V12" s="5"/>
      <c r="W12" s="4">
        <f>V12:V12*200</f>
        <v>0</v>
      </c>
      <c r="X12" s="5"/>
      <c r="Y12" s="4">
        <f>X12:X12*200</f>
        <v>0</v>
      </c>
      <c r="Z12" s="5"/>
      <c r="AA12" s="4">
        <f>Z12:Z12*200</f>
        <v>0</v>
      </c>
      <c r="AB12" s="5"/>
      <c r="AC12" s="4">
        <f>AB12:AB12*200</f>
        <v>0</v>
      </c>
      <c r="AD12" s="5"/>
      <c r="AE12" s="4"/>
    </row>
    <row r="13" spans="1:31" x14ac:dyDescent="0.25">
      <c r="A13" s="17" t="s">
        <v>5</v>
      </c>
      <c r="B13" s="5"/>
      <c r="C13" s="4">
        <f>B13:B13*200</f>
        <v>0</v>
      </c>
      <c r="D13" s="5"/>
      <c r="E13" s="4">
        <f>D13:D13*200</f>
        <v>0</v>
      </c>
      <c r="F13" s="5"/>
      <c r="G13" s="4">
        <f>F13:F13*200</f>
        <v>0</v>
      </c>
      <c r="H13" s="5"/>
      <c r="I13" s="4">
        <f>H13:H13*200</f>
        <v>0</v>
      </c>
      <c r="J13" s="5"/>
      <c r="K13" s="4">
        <f>J13:J13*200</f>
        <v>0</v>
      </c>
      <c r="L13" s="5"/>
      <c r="M13" s="4">
        <f>L13:L13*200</f>
        <v>0</v>
      </c>
      <c r="N13" s="5"/>
      <c r="O13" s="4">
        <f>N13:N13*200</f>
        <v>0</v>
      </c>
      <c r="P13" s="5"/>
      <c r="Q13" s="4">
        <f>P13:P13*200</f>
        <v>0</v>
      </c>
      <c r="R13" s="5"/>
      <c r="S13" s="4">
        <f>R13:R13*200</f>
        <v>0</v>
      </c>
      <c r="T13" s="5"/>
      <c r="U13" s="4"/>
      <c r="V13" s="5"/>
      <c r="W13" s="4">
        <f>V13:V13*200</f>
        <v>0</v>
      </c>
      <c r="X13" s="5"/>
      <c r="Y13" s="4">
        <f>X13:X13*200</f>
        <v>0</v>
      </c>
      <c r="Z13" s="5"/>
      <c r="AA13" s="4">
        <f>Z13:Z13*200</f>
        <v>0</v>
      </c>
      <c r="AB13" s="5"/>
      <c r="AC13" s="4">
        <f>AB13:AB13*200</f>
        <v>0</v>
      </c>
      <c r="AD13" s="5"/>
      <c r="AE13" s="4"/>
    </row>
    <row r="14" spans="1:31" x14ac:dyDescent="0.25">
      <c r="A14" s="17" t="s">
        <v>7</v>
      </c>
      <c r="B14" s="5"/>
      <c r="C14" s="4">
        <f>B14*50</f>
        <v>0</v>
      </c>
      <c r="D14" s="5"/>
      <c r="E14" s="4">
        <f>D14*50</f>
        <v>0</v>
      </c>
      <c r="F14" s="5"/>
      <c r="G14" s="4">
        <f>F14*100</f>
        <v>0</v>
      </c>
      <c r="H14" s="5"/>
      <c r="I14" s="4">
        <f>H14*100</f>
        <v>0</v>
      </c>
      <c r="J14" s="5"/>
      <c r="K14" s="4">
        <f>J14*100</f>
        <v>0</v>
      </c>
      <c r="L14" s="5"/>
      <c r="M14" s="4">
        <f>L14*100</f>
        <v>0</v>
      </c>
      <c r="N14" s="5"/>
      <c r="O14" s="4">
        <f>N14*100</f>
        <v>0</v>
      </c>
      <c r="P14" s="5"/>
      <c r="Q14" s="4">
        <f>P14*100</f>
        <v>0</v>
      </c>
      <c r="R14" s="5"/>
      <c r="S14" s="4">
        <f>R14*100</f>
        <v>0</v>
      </c>
      <c r="T14" s="5"/>
      <c r="U14" s="4"/>
      <c r="V14" s="5"/>
      <c r="W14" s="4">
        <f>V14*100</f>
        <v>0</v>
      </c>
      <c r="X14" s="5"/>
      <c r="Y14" s="4">
        <f>X14*100</f>
        <v>0</v>
      </c>
      <c r="Z14" s="5"/>
      <c r="AA14" s="4">
        <f>Z14*100</f>
        <v>0</v>
      </c>
      <c r="AB14" s="5"/>
      <c r="AC14" s="4">
        <f>AB14*100</f>
        <v>0</v>
      </c>
      <c r="AD14" s="5"/>
      <c r="AE14" s="4"/>
    </row>
    <row r="15" spans="1:31" x14ac:dyDescent="0.25">
      <c r="A15" s="17" t="s">
        <v>37</v>
      </c>
      <c r="B15" s="5"/>
      <c r="C15" s="4">
        <f>B15*100</f>
        <v>0</v>
      </c>
      <c r="D15" s="5"/>
      <c r="E15" s="4">
        <f>D15*100</f>
        <v>0</v>
      </c>
      <c r="F15" s="3"/>
      <c r="G15" s="4">
        <f>F15*100</f>
        <v>0</v>
      </c>
      <c r="H15" s="3"/>
      <c r="I15" s="4">
        <f>H15*100</f>
        <v>0</v>
      </c>
      <c r="J15" s="3"/>
      <c r="K15" s="4">
        <f>J15*100</f>
        <v>0</v>
      </c>
      <c r="L15" s="3"/>
      <c r="M15" s="4">
        <f>L15*100</f>
        <v>0</v>
      </c>
      <c r="N15" s="3"/>
      <c r="O15" s="4">
        <f>N15*100</f>
        <v>0</v>
      </c>
      <c r="P15" s="3"/>
      <c r="Q15" s="4">
        <f>P15*100</f>
        <v>0</v>
      </c>
      <c r="R15" s="3"/>
      <c r="S15" s="4">
        <f>R15*100</f>
        <v>0</v>
      </c>
      <c r="T15" s="3"/>
      <c r="U15" s="4">
        <f>T15*100</f>
        <v>0</v>
      </c>
      <c r="V15" s="3"/>
      <c r="W15" s="4">
        <f>V15*100</f>
        <v>0</v>
      </c>
      <c r="X15" s="3"/>
      <c r="Y15" s="4">
        <f>X15*100</f>
        <v>0</v>
      </c>
      <c r="Z15" s="3"/>
      <c r="AA15" s="4">
        <f>Z15*100</f>
        <v>0</v>
      </c>
      <c r="AB15" s="3"/>
      <c r="AC15" s="4">
        <f>AB15*100</f>
        <v>0</v>
      </c>
      <c r="AD15" s="3"/>
      <c r="AE15" s="4">
        <f>AD15*100</f>
        <v>0</v>
      </c>
    </row>
    <row r="16" spans="1:31" x14ac:dyDescent="0.25">
      <c r="A16" s="17" t="s">
        <v>8</v>
      </c>
      <c r="B16" s="5"/>
      <c r="C16" s="4">
        <f>B16*600</f>
        <v>0</v>
      </c>
      <c r="D16" s="5"/>
      <c r="E16" s="4">
        <f>D16*600</f>
        <v>0</v>
      </c>
      <c r="F16" s="5"/>
      <c r="G16" s="4">
        <f>F16*600</f>
        <v>0</v>
      </c>
      <c r="H16" s="5"/>
      <c r="I16" s="4">
        <f>H16*600</f>
        <v>0</v>
      </c>
      <c r="J16" s="5"/>
      <c r="K16" s="4">
        <f>J16*600</f>
        <v>0</v>
      </c>
      <c r="L16" s="5"/>
      <c r="M16" s="4">
        <f>L16*600</f>
        <v>0</v>
      </c>
      <c r="N16" s="5"/>
      <c r="O16" s="4">
        <f>N16*600</f>
        <v>0</v>
      </c>
      <c r="P16" s="5"/>
      <c r="Q16" s="4">
        <f>P16*600</f>
        <v>0</v>
      </c>
      <c r="R16" s="5"/>
      <c r="S16" s="4">
        <f>R16*600</f>
        <v>0</v>
      </c>
      <c r="T16" s="5"/>
      <c r="U16" s="4"/>
      <c r="V16" s="5"/>
      <c r="W16" s="4">
        <f>V16*600</f>
        <v>0</v>
      </c>
      <c r="X16" s="5"/>
      <c r="Y16" s="4">
        <f>X16*600</f>
        <v>0</v>
      </c>
      <c r="Z16" s="5"/>
      <c r="AA16" s="4">
        <f>Z16*600</f>
        <v>0</v>
      </c>
      <c r="AB16" s="5"/>
      <c r="AC16" s="4">
        <f>AB16*600</f>
        <v>0</v>
      </c>
      <c r="AD16" s="5"/>
      <c r="AE16" s="4"/>
    </row>
    <row r="17" spans="1:31" x14ac:dyDescent="0.25">
      <c r="A17" s="17" t="s">
        <v>9</v>
      </c>
      <c r="B17" s="5"/>
      <c r="C17" s="4">
        <f>B17*70</f>
        <v>0</v>
      </c>
      <c r="D17" s="5"/>
      <c r="E17" s="4">
        <f>D17*70</f>
        <v>0</v>
      </c>
      <c r="F17" s="5"/>
      <c r="G17" s="4">
        <f>F17*70</f>
        <v>0</v>
      </c>
      <c r="H17" s="5"/>
      <c r="I17" s="4">
        <f>H17*70</f>
        <v>0</v>
      </c>
      <c r="J17" s="5"/>
      <c r="K17" s="4">
        <f>J17*70</f>
        <v>0</v>
      </c>
      <c r="L17" s="5"/>
      <c r="M17" s="4">
        <f>L17*70</f>
        <v>0</v>
      </c>
      <c r="N17" s="5"/>
      <c r="O17" s="4">
        <f>N17*70</f>
        <v>0</v>
      </c>
      <c r="P17" s="5"/>
      <c r="Q17" s="4">
        <f>P17*70</f>
        <v>0</v>
      </c>
      <c r="R17" s="5"/>
      <c r="S17" s="4">
        <f>R17*70</f>
        <v>0</v>
      </c>
      <c r="T17" s="5"/>
      <c r="U17" s="4"/>
      <c r="V17" s="5"/>
      <c r="W17" s="4">
        <f>V17*70</f>
        <v>0</v>
      </c>
      <c r="X17" s="5"/>
      <c r="Y17" s="4">
        <f>X17*70</f>
        <v>0</v>
      </c>
      <c r="Z17" s="5"/>
      <c r="AA17" s="4">
        <f>Z17*70</f>
        <v>0</v>
      </c>
      <c r="AB17" s="5"/>
      <c r="AC17" s="4">
        <f>AB17*70</f>
        <v>0</v>
      </c>
      <c r="AD17" s="5"/>
      <c r="AE17" s="4"/>
    </row>
    <row r="18" spans="1:31" x14ac:dyDescent="0.25">
      <c r="A18" s="17" t="s">
        <v>10</v>
      </c>
      <c r="B18" s="5"/>
      <c r="C18" s="4">
        <f t="shared" ref="C18" si="0">B18*50</f>
        <v>0</v>
      </c>
      <c r="D18" s="5"/>
      <c r="E18" s="4">
        <f t="shared" ref="E18" si="1">D18*50</f>
        <v>0</v>
      </c>
      <c r="F18" s="5"/>
      <c r="G18" s="4">
        <f>F18*50</f>
        <v>0</v>
      </c>
      <c r="H18" s="5"/>
      <c r="I18" s="4">
        <f>H18*50</f>
        <v>0</v>
      </c>
      <c r="J18" s="5"/>
      <c r="K18" s="4">
        <f>J18*50</f>
        <v>0</v>
      </c>
      <c r="L18" s="5"/>
      <c r="M18" s="4">
        <f>L18*50</f>
        <v>0</v>
      </c>
      <c r="N18" s="5"/>
      <c r="O18" s="4">
        <f>N18*50</f>
        <v>0</v>
      </c>
      <c r="P18" s="5"/>
      <c r="Q18" s="4">
        <f>P18*50</f>
        <v>0</v>
      </c>
      <c r="R18" s="5"/>
      <c r="S18" s="4">
        <f>R18*50</f>
        <v>0</v>
      </c>
      <c r="T18" s="5"/>
      <c r="U18" s="4"/>
      <c r="V18" s="5"/>
      <c r="W18" s="4">
        <f>V18*50</f>
        <v>0</v>
      </c>
      <c r="X18" s="5"/>
      <c r="Y18" s="4">
        <f>X18*50</f>
        <v>0</v>
      </c>
      <c r="Z18" s="5"/>
      <c r="AA18" s="4">
        <f>Z18*50</f>
        <v>0</v>
      </c>
      <c r="AB18" s="5"/>
      <c r="AC18" s="4">
        <f>AB18*50</f>
        <v>0</v>
      </c>
      <c r="AD18" s="5"/>
      <c r="AE18" s="4"/>
    </row>
    <row r="19" spans="1:31" x14ac:dyDescent="0.25">
      <c r="A19" s="17" t="s">
        <v>19</v>
      </c>
      <c r="B19" s="5"/>
      <c r="C19" s="4"/>
      <c r="D19" s="5"/>
      <c r="E19" s="4"/>
      <c r="F19" s="5"/>
      <c r="G19" s="4">
        <f>F19*200</f>
        <v>0</v>
      </c>
      <c r="H19" s="5"/>
      <c r="I19" s="4">
        <f>H19*200</f>
        <v>0</v>
      </c>
      <c r="J19" s="5"/>
      <c r="K19" s="4">
        <f>J19*200</f>
        <v>0</v>
      </c>
      <c r="L19" s="5"/>
      <c r="M19" s="4">
        <f>L19*200</f>
        <v>0</v>
      </c>
      <c r="N19" s="5"/>
      <c r="O19" s="4">
        <f>N19*200</f>
        <v>0</v>
      </c>
      <c r="P19" s="5"/>
      <c r="Q19" s="4">
        <f>P19*200</f>
        <v>0</v>
      </c>
      <c r="R19" s="5"/>
      <c r="S19" s="4">
        <f>R19*200</f>
        <v>0</v>
      </c>
      <c r="T19" s="5"/>
      <c r="U19" s="4"/>
      <c r="V19" s="5"/>
      <c r="W19" s="4">
        <f>V19*200</f>
        <v>0</v>
      </c>
      <c r="X19" s="5"/>
      <c r="Y19" s="4">
        <f>X19*200</f>
        <v>0</v>
      </c>
      <c r="Z19" s="5"/>
      <c r="AA19" s="4">
        <f>Z19*200</f>
        <v>0</v>
      </c>
      <c r="AB19" s="5"/>
      <c r="AC19" s="4">
        <f>AB19*200</f>
        <v>0</v>
      </c>
      <c r="AD19" s="5"/>
      <c r="AE19" s="4"/>
    </row>
    <row r="20" spans="1:31" x14ac:dyDescent="0.25">
      <c r="A20" s="17" t="s">
        <v>20</v>
      </c>
      <c r="B20" s="5"/>
      <c r="C20" s="4"/>
      <c r="D20" s="5"/>
      <c r="E20" s="4"/>
      <c r="F20" s="5"/>
      <c r="G20" s="4">
        <f>F20*300</f>
        <v>0</v>
      </c>
      <c r="H20" s="5"/>
      <c r="I20" s="4">
        <f>H20*300</f>
        <v>0</v>
      </c>
      <c r="J20" s="5"/>
      <c r="K20" s="4">
        <f>J20*300</f>
        <v>0</v>
      </c>
      <c r="L20" s="5"/>
      <c r="M20" s="4">
        <f t="shared" ref="M20" si="2">L20*300</f>
        <v>0</v>
      </c>
      <c r="N20" s="5"/>
      <c r="O20" s="4">
        <f>N20*300</f>
        <v>0</v>
      </c>
      <c r="P20" s="5"/>
      <c r="Q20" s="4">
        <f>P20*300</f>
        <v>0</v>
      </c>
      <c r="R20" s="5"/>
      <c r="S20" s="4">
        <f>R20*300</f>
        <v>0</v>
      </c>
      <c r="T20" s="5"/>
      <c r="U20" s="4"/>
      <c r="V20" s="5"/>
      <c r="W20" s="4">
        <f>V20*300</f>
        <v>0</v>
      </c>
      <c r="X20" s="5"/>
      <c r="Y20" s="4">
        <f>X20*300</f>
        <v>0</v>
      </c>
      <c r="Z20" s="5"/>
      <c r="AA20" s="4">
        <f>Z20*300</f>
        <v>0</v>
      </c>
      <c r="AB20" s="5"/>
      <c r="AC20" s="4">
        <f>AB20*300</f>
        <v>0</v>
      </c>
      <c r="AD20" s="5"/>
      <c r="AE20" s="4"/>
    </row>
    <row r="21" spans="1:31" x14ac:dyDescent="0.25">
      <c r="A21" s="17" t="s">
        <v>14</v>
      </c>
      <c r="B21" s="5"/>
      <c r="C21" s="4"/>
      <c r="D21" s="5"/>
      <c r="E21" s="4"/>
      <c r="F21" s="5"/>
      <c r="G21" s="8">
        <f>F21*500</f>
        <v>0</v>
      </c>
      <c r="H21" s="5"/>
      <c r="I21" s="8">
        <f>H21*500</f>
        <v>0</v>
      </c>
      <c r="J21" s="5"/>
      <c r="K21" s="8">
        <f>J21*500</f>
        <v>0</v>
      </c>
      <c r="L21" s="5"/>
      <c r="M21" s="8">
        <f>L21*500</f>
        <v>0</v>
      </c>
      <c r="N21" s="5"/>
      <c r="O21" s="8">
        <f>N21*500</f>
        <v>0</v>
      </c>
      <c r="P21" s="5"/>
      <c r="Q21" s="8">
        <f>P21*500</f>
        <v>0</v>
      </c>
      <c r="R21" s="5"/>
      <c r="S21" s="8">
        <f>R21*500</f>
        <v>0</v>
      </c>
      <c r="T21" s="5"/>
      <c r="U21" s="8"/>
      <c r="V21" s="5"/>
      <c r="W21" s="8">
        <f>V21*500</f>
        <v>0</v>
      </c>
      <c r="X21" s="5"/>
      <c r="Y21" s="8">
        <f>X21*500</f>
        <v>0</v>
      </c>
      <c r="Z21" s="5"/>
      <c r="AA21" s="8">
        <f>Z21*500</f>
        <v>0</v>
      </c>
      <c r="AB21" s="5"/>
      <c r="AC21" s="8">
        <f>AB21*500</f>
        <v>0</v>
      </c>
      <c r="AD21" s="5"/>
      <c r="AE21" s="8"/>
    </row>
    <row r="22" spans="1:31" x14ac:dyDescent="0.25">
      <c r="A22" s="17" t="s">
        <v>15</v>
      </c>
      <c r="B22" s="5"/>
      <c r="C22" s="4"/>
      <c r="D22" s="5"/>
      <c r="E22" s="4"/>
      <c r="F22" s="5"/>
      <c r="G22" s="8">
        <f>F22*700</f>
        <v>0</v>
      </c>
      <c r="H22" s="5"/>
      <c r="I22" s="8">
        <f>H22*700</f>
        <v>0</v>
      </c>
      <c r="J22" s="5"/>
      <c r="K22" s="8">
        <f>J22*700</f>
        <v>0</v>
      </c>
      <c r="L22" s="5"/>
      <c r="M22" s="8">
        <f>L22*700</f>
        <v>0</v>
      </c>
      <c r="N22" s="5"/>
      <c r="O22" s="8">
        <f>N22*700</f>
        <v>0</v>
      </c>
      <c r="P22" s="5"/>
      <c r="Q22" s="8">
        <f>P22*700</f>
        <v>0</v>
      </c>
      <c r="R22" s="5"/>
      <c r="S22" s="8">
        <f>R22*700</f>
        <v>0</v>
      </c>
      <c r="T22" s="5"/>
      <c r="U22" s="8"/>
      <c r="V22" s="5"/>
      <c r="W22" s="8">
        <f>V22*700</f>
        <v>0</v>
      </c>
      <c r="X22" s="5"/>
      <c r="Y22" s="8">
        <f>X22*700</f>
        <v>0</v>
      </c>
      <c r="Z22" s="5"/>
      <c r="AA22" s="8">
        <f>Z22*700</f>
        <v>0</v>
      </c>
      <c r="AB22" s="5"/>
      <c r="AC22" s="8">
        <f>AB22*700</f>
        <v>0</v>
      </c>
      <c r="AD22" s="5"/>
      <c r="AE22" s="8"/>
    </row>
    <row r="23" spans="1:31" x14ac:dyDescent="0.25">
      <c r="A23" s="17" t="s">
        <v>16</v>
      </c>
      <c r="B23" s="5"/>
      <c r="C23" s="4"/>
      <c r="D23" s="5"/>
      <c r="E23" s="4"/>
      <c r="F23" s="5"/>
      <c r="G23" s="8">
        <f>F23*1200</f>
        <v>0</v>
      </c>
      <c r="H23" s="5"/>
      <c r="I23" s="8">
        <f>H23*1200</f>
        <v>0</v>
      </c>
      <c r="J23" s="5"/>
      <c r="K23" s="8">
        <f>J23*1200</f>
        <v>0</v>
      </c>
      <c r="L23" s="5"/>
      <c r="M23" s="8">
        <f>L23*1200</f>
        <v>0</v>
      </c>
      <c r="N23" s="5"/>
      <c r="O23" s="8">
        <f>N23*950</f>
        <v>0</v>
      </c>
      <c r="P23" s="5"/>
      <c r="Q23" s="8">
        <f>P23*1200</f>
        <v>0</v>
      </c>
      <c r="R23" s="5"/>
      <c r="S23" s="8">
        <f>R23*1200</f>
        <v>0</v>
      </c>
      <c r="T23" s="5"/>
      <c r="U23" s="8"/>
      <c r="V23" s="5"/>
      <c r="W23" s="8">
        <f>V23*1200</f>
        <v>0</v>
      </c>
      <c r="X23" s="5"/>
      <c r="Y23" s="8">
        <f>X23*1200</f>
        <v>0</v>
      </c>
      <c r="Z23" s="5"/>
      <c r="AA23" s="8">
        <f>Z23*1200</f>
        <v>0</v>
      </c>
      <c r="AB23" s="5"/>
      <c r="AC23" s="8">
        <f>AB23*1200</f>
        <v>0</v>
      </c>
      <c r="AD23" s="5"/>
      <c r="AE23" s="8"/>
    </row>
    <row r="24" spans="1:31" x14ac:dyDescent="0.25">
      <c r="A24" s="17" t="s">
        <v>17</v>
      </c>
      <c r="B24" s="5"/>
      <c r="C24" s="4"/>
      <c r="D24" s="5"/>
      <c r="E24" s="4"/>
      <c r="F24" s="5"/>
      <c r="G24" s="8">
        <f>F24*1400</f>
        <v>0</v>
      </c>
      <c r="H24" s="5"/>
      <c r="I24" s="8">
        <f>H24*1400</f>
        <v>0</v>
      </c>
      <c r="J24" s="5"/>
      <c r="K24" s="8">
        <f>J24*1400</f>
        <v>0</v>
      </c>
      <c r="L24" s="5"/>
      <c r="M24" s="8">
        <f>L24*1400</f>
        <v>0</v>
      </c>
      <c r="N24" s="5"/>
      <c r="O24" s="8">
        <f>N24*1050</f>
        <v>0</v>
      </c>
      <c r="P24" s="5"/>
      <c r="Q24" s="8">
        <f>P24*1400</f>
        <v>0</v>
      </c>
      <c r="R24" s="5"/>
      <c r="S24" s="8">
        <f>R24*1400</f>
        <v>0</v>
      </c>
      <c r="T24" s="5"/>
      <c r="U24" s="8"/>
      <c r="V24" s="5"/>
      <c r="W24" s="8">
        <f>V24*1400</f>
        <v>0</v>
      </c>
      <c r="X24" s="5"/>
      <c r="Y24" s="8">
        <f>X24*1400</f>
        <v>0</v>
      </c>
      <c r="Z24" s="5"/>
      <c r="AA24" s="8">
        <f>Z24*1400</f>
        <v>0</v>
      </c>
      <c r="AB24" s="5"/>
      <c r="AC24" s="8">
        <f>AB24*1400</f>
        <v>0</v>
      </c>
      <c r="AD24" s="5"/>
      <c r="AE24" s="8"/>
    </row>
    <row r="25" spans="1:31" x14ac:dyDescent="0.25">
      <c r="A25" s="17" t="s">
        <v>18</v>
      </c>
      <c r="B25" s="5"/>
      <c r="C25" s="4"/>
      <c r="D25" s="5"/>
      <c r="E25" s="4"/>
      <c r="F25" s="5"/>
      <c r="G25" s="8">
        <f>F25*200</f>
        <v>0</v>
      </c>
      <c r="H25" s="5"/>
      <c r="I25" s="8">
        <f>H25*200</f>
        <v>0</v>
      </c>
      <c r="J25" s="5"/>
      <c r="K25" s="8">
        <f>J25*200</f>
        <v>0</v>
      </c>
      <c r="L25" s="5"/>
      <c r="M25" s="8">
        <f>L25*200</f>
        <v>0</v>
      </c>
      <c r="N25" s="5"/>
      <c r="O25" s="8">
        <f>N25*200</f>
        <v>0</v>
      </c>
      <c r="P25" s="5"/>
      <c r="Q25" s="8">
        <f>P25*200</f>
        <v>0</v>
      </c>
      <c r="R25" s="5"/>
      <c r="S25" s="8">
        <f>R25*200</f>
        <v>0</v>
      </c>
      <c r="T25" s="5"/>
      <c r="U25" s="8"/>
      <c r="V25" s="5"/>
      <c r="W25" s="8">
        <f>V25*200</f>
        <v>0</v>
      </c>
      <c r="X25" s="5"/>
      <c r="Y25" s="8">
        <f>X25*200</f>
        <v>0</v>
      </c>
      <c r="Z25" s="5"/>
      <c r="AA25" s="8">
        <f>Z25*200</f>
        <v>0</v>
      </c>
      <c r="AB25" s="5"/>
      <c r="AC25" s="8">
        <f>AB25*200</f>
        <v>0</v>
      </c>
      <c r="AD25" s="5"/>
      <c r="AE25" s="8"/>
    </row>
    <row r="26" spans="1:31" x14ac:dyDescent="0.25">
      <c r="A26" s="17" t="s">
        <v>24</v>
      </c>
      <c r="B26" s="5"/>
      <c r="C26" s="4"/>
      <c r="D26" s="5"/>
      <c r="E26" s="4"/>
      <c r="F26" s="5"/>
      <c r="G26" s="8"/>
      <c r="H26" s="5"/>
      <c r="I26" s="8">
        <f>H26*300</f>
        <v>0</v>
      </c>
      <c r="J26" s="5"/>
      <c r="K26" s="8"/>
      <c r="L26" s="5"/>
      <c r="M26" s="8">
        <f t="shared" ref="M26" si="3">L26*300</f>
        <v>0</v>
      </c>
      <c r="N26" s="5"/>
      <c r="O26" s="8">
        <f t="shared" ref="O26" si="4">N26*300</f>
        <v>0</v>
      </c>
      <c r="P26" s="5"/>
      <c r="Q26" s="8">
        <f t="shared" ref="Q26" si="5">P26*300</f>
        <v>0</v>
      </c>
      <c r="R26" s="5"/>
      <c r="S26" s="8">
        <f t="shared" ref="S26" si="6">R26*300</f>
        <v>0</v>
      </c>
      <c r="T26" s="5"/>
      <c r="U26" s="8">
        <f t="shared" ref="U26" si="7">T26*300</f>
        <v>0</v>
      </c>
      <c r="V26" s="5"/>
      <c r="W26" s="8"/>
      <c r="X26" s="5"/>
      <c r="Y26" s="8"/>
      <c r="Z26" s="5"/>
      <c r="AA26" s="8"/>
      <c r="AB26" s="5"/>
      <c r="AC26" s="8"/>
      <c r="AD26" s="5"/>
      <c r="AE26" s="8">
        <f t="shared" ref="AE26" si="8">AD26*300</f>
        <v>0</v>
      </c>
    </row>
    <row r="27" spans="1:31" x14ac:dyDescent="0.25">
      <c r="A27" s="17" t="s">
        <v>21</v>
      </c>
      <c r="B27" s="5"/>
      <c r="C27" s="4"/>
      <c r="D27" s="5"/>
      <c r="E27" s="4"/>
      <c r="F27" s="5"/>
      <c r="G27" s="8"/>
      <c r="H27" s="5"/>
      <c r="I27" s="8">
        <f>H27*2500*0.6</f>
        <v>0</v>
      </c>
      <c r="J27" s="5"/>
      <c r="K27" s="8"/>
      <c r="L27" s="5"/>
      <c r="M27" s="8"/>
      <c r="N27" s="5"/>
      <c r="O27" s="8"/>
      <c r="P27" s="5"/>
      <c r="Q27" s="8"/>
      <c r="R27" s="5"/>
      <c r="S27" s="8"/>
      <c r="T27" s="11"/>
      <c r="U27" s="8"/>
      <c r="V27" s="5"/>
      <c r="W27" s="8"/>
      <c r="X27" s="5"/>
      <c r="Y27" s="8"/>
      <c r="Z27" s="5"/>
      <c r="AA27" s="8"/>
      <c r="AB27" s="5"/>
      <c r="AC27" s="8"/>
      <c r="AD27" s="11"/>
      <c r="AE27" s="8"/>
    </row>
    <row r="28" spans="1:31" x14ac:dyDescent="0.25">
      <c r="A28" s="17" t="s">
        <v>174</v>
      </c>
      <c r="B28" s="5"/>
      <c r="C28" s="4"/>
      <c r="D28" s="5"/>
      <c r="E28" s="4"/>
      <c r="F28" s="5"/>
      <c r="G28" s="4"/>
      <c r="H28" s="5"/>
      <c r="I28" s="4"/>
      <c r="J28" s="5"/>
      <c r="K28" s="4"/>
      <c r="L28" s="5"/>
      <c r="M28" s="4"/>
      <c r="N28" s="5"/>
      <c r="O28" s="4"/>
      <c r="P28" s="5"/>
      <c r="Q28" s="4"/>
      <c r="R28" s="5"/>
      <c r="S28" s="4"/>
      <c r="T28" s="5"/>
      <c r="U28" s="4"/>
      <c r="V28" s="5"/>
      <c r="W28" s="4"/>
      <c r="X28" s="5"/>
      <c r="Y28" s="4"/>
      <c r="Z28" s="5"/>
      <c r="AA28" s="4"/>
      <c r="AB28" s="5"/>
      <c r="AC28" s="4"/>
      <c r="AD28" s="5"/>
      <c r="AE28" s="4"/>
    </row>
    <row r="29" spans="1:31" x14ac:dyDescent="0.25">
      <c r="A29" s="17" t="s">
        <v>25</v>
      </c>
      <c r="B29" s="5"/>
      <c r="C29" s="4"/>
      <c r="D29" s="3"/>
      <c r="E29" s="4"/>
      <c r="F29" s="5"/>
      <c r="G29" s="8"/>
      <c r="H29" s="5"/>
      <c r="I29" s="8"/>
      <c r="J29" s="5"/>
      <c r="K29" s="8"/>
      <c r="L29" s="5"/>
      <c r="M29" s="8"/>
      <c r="N29" s="5"/>
      <c r="O29" s="8"/>
      <c r="P29" s="5"/>
      <c r="Q29" s="8"/>
      <c r="R29" s="5"/>
      <c r="S29" s="8"/>
      <c r="T29" s="11"/>
      <c r="U29" s="8"/>
      <c r="V29" s="5"/>
      <c r="W29" s="8"/>
      <c r="X29" s="5"/>
      <c r="Y29" s="8"/>
      <c r="Z29" s="5"/>
      <c r="AA29" s="8"/>
      <c r="AB29" s="5"/>
      <c r="AC29" s="8"/>
      <c r="AD29" s="11"/>
      <c r="AE29" s="8"/>
    </row>
    <row r="30" spans="1:31" x14ac:dyDescent="0.25">
      <c r="A30" s="17" t="s">
        <v>26</v>
      </c>
      <c r="B30" s="5"/>
      <c r="C30" s="4"/>
      <c r="D30" s="3"/>
      <c r="E30" s="4"/>
      <c r="F30" s="5"/>
      <c r="G30" s="8"/>
      <c r="H30" s="5"/>
      <c r="I30" s="8"/>
      <c r="J30" s="5"/>
      <c r="K30" s="8"/>
      <c r="L30" s="5"/>
      <c r="M30" s="8"/>
      <c r="N30" s="5"/>
      <c r="O30" s="8"/>
      <c r="P30" s="5"/>
      <c r="Q30" s="8"/>
      <c r="R30" s="5"/>
      <c r="S30" s="8"/>
      <c r="T30" s="11"/>
      <c r="U30" s="8"/>
      <c r="V30" s="5"/>
      <c r="W30" s="8"/>
      <c r="X30" s="5"/>
      <c r="Y30" s="8"/>
      <c r="Z30" s="5"/>
      <c r="AA30" s="8"/>
      <c r="AB30" s="5"/>
      <c r="AC30" s="8"/>
      <c r="AD30" s="11"/>
      <c r="AE30" s="8"/>
    </row>
    <row r="31" spans="1:31" x14ac:dyDescent="0.25">
      <c r="A31" s="17" t="s">
        <v>86</v>
      </c>
      <c r="B31" s="5"/>
      <c r="C31" s="4"/>
      <c r="D31" s="3"/>
      <c r="E31" s="4"/>
      <c r="F31" s="5"/>
      <c r="G31" s="8"/>
      <c r="H31" s="5"/>
      <c r="I31" s="8"/>
      <c r="J31" s="5"/>
      <c r="K31" s="8"/>
      <c r="L31" s="5"/>
      <c r="M31" s="8"/>
      <c r="N31" s="5"/>
      <c r="O31" s="8">
        <f>N31*400</f>
        <v>0</v>
      </c>
      <c r="P31" s="5"/>
      <c r="Q31" s="8"/>
      <c r="R31" s="5"/>
      <c r="S31" s="8"/>
      <c r="T31" s="11"/>
      <c r="U31" s="8"/>
      <c r="V31" s="5"/>
      <c r="W31" s="8"/>
      <c r="X31" s="5"/>
      <c r="Y31" s="8"/>
      <c r="Z31" s="5"/>
      <c r="AA31" s="8"/>
      <c r="AB31" s="5"/>
      <c r="AC31" s="8"/>
      <c r="AD31" s="11"/>
      <c r="AE31" s="8"/>
    </row>
    <row r="32" spans="1:31" x14ac:dyDescent="0.25">
      <c r="A32" s="17" t="s">
        <v>45</v>
      </c>
      <c r="B32" s="3"/>
      <c r="C32" s="4"/>
      <c r="D32" s="3"/>
      <c r="E32" s="4"/>
      <c r="F32" s="5"/>
      <c r="G32" s="8"/>
      <c r="H32" s="5"/>
      <c r="I32" s="8"/>
      <c r="J32" s="5"/>
      <c r="K32" s="8"/>
      <c r="L32" s="5"/>
      <c r="M32" s="8"/>
      <c r="N32" s="5"/>
      <c r="O32" s="8"/>
      <c r="P32" s="5"/>
      <c r="Q32" s="8"/>
      <c r="R32" s="5"/>
      <c r="S32" s="8"/>
      <c r="T32" s="11"/>
      <c r="U32" s="8"/>
      <c r="V32" s="5"/>
      <c r="W32" s="8"/>
      <c r="X32" s="5"/>
      <c r="Y32" s="8"/>
      <c r="Z32" s="5"/>
      <c r="AA32" s="8"/>
      <c r="AB32" s="5"/>
      <c r="AC32" s="8"/>
      <c r="AD32" s="11"/>
      <c r="AE32" s="8"/>
    </row>
    <row r="33" spans="1:31" x14ac:dyDescent="0.25">
      <c r="A33" s="17" t="s">
        <v>44</v>
      </c>
      <c r="B33" s="3"/>
      <c r="C33" s="4"/>
      <c r="D33" s="3"/>
      <c r="E33" s="4"/>
      <c r="F33" s="5"/>
      <c r="G33" s="8"/>
      <c r="H33" s="5"/>
      <c r="I33" s="8"/>
      <c r="J33" s="5"/>
      <c r="K33" s="8"/>
      <c r="L33" s="5"/>
      <c r="M33" s="8"/>
      <c r="N33" s="5"/>
      <c r="O33" s="8"/>
      <c r="P33" s="5"/>
      <c r="Q33" s="8"/>
      <c r="R33" s="5"/>
      <c r="S33" s="8"/>
      <c r="T33" s="11"/>
      <c r="U33" s="8"/>
      <c r="V33" s="5"/>
      <c r="W33" s="8"/>
      <c r="X33" s="5"/>
      <c r="Y33" s="8">
        <f>X33*7000*0.5</f>
        <v>0</v>
      </c>
      <c r="Z33" s="5"/>
      <c r="AA33" s="8"/>
      <c r="AB33" s="5"/>
      <c r="AC33" s="8"/>
      <c r="AD33" s="11"/>
      <c r="AE33" s="8"/>
    </row>
    <row r="34" spans="1:31" x14ac:dyDescent="0.25">
      <c r="A34" s="17" t="s">
        <v>126</v>
      </c>
      <c r="B34" s="3"/>
      <c r="C34" s="4"/>
      <c r="D34" s="3"/>
      <c r="E34" s="4"/>
      <c r="F34" s="5"/>
      <c r="G34" s="8"/>
      <c r="H34" s="5"/>
      <c r="I34" s="8"/>
      <c r="J34" s="5"/>
      <c r="K34" s="8"/>
      <c r="L34" s="5"/>
      <c r="M34" s="8"/>
      <c r="N34" s="5"/>
      <c r="O34" s="8"/>
      <c r="P34" s="5"/>
      <c r="Q34" s="8"/>
      <c r="R34" s="5"/>
      <c r="S34" s="8"/>
      <c r="T34" s="11"/>
      <c r="U34" s="8"/>
      <c r="V34" s="5"/>
      <c r="W34" s="8"/>
      <c r="X34" s="5"/>
      <c r="Y34" s="8">
        <f>X34*10000*0.5</f>
        <v>0</v>
      </c>
      <c r="Z34" s="5"/>
      <c r="AA34" s="8"/>
      <c r="AB34" s="5"/>
      <c r="AC34" s="8"/>
      <c r="AD34" s="11"/>
      <c r="AE34" s="8"/>
    </row>
    <row r="35" spans="1:31" x14ac:dyDescent="0.25">
      <c r="A35" s="17" t="s">
        <v>127</v>
      </c>
      <c r="B35" s="3"/>
      <c r="C35" s="4"/>
      <c r="D35" s="3"/>
      <c r="E35" s="4"/>
      <c r="F35" s="5"/>
      <c r="G35" s="8"/>
      <c r="H35" s="5"/>
      <c r="I35" s="8"/>
      <c r="J35" s="5"/>
      <c r="K35" s="8"/>
      <c r="L35" s="5"/>
      <c r="M35" s="8"/>
      <c r="N35" s="5"/>
      <c r="O35" s="8"/>
      <c r="P35" s="5"/>
      <c r="Q35" s="8"/>
      <c r="R35" s="5"/>
      <c r="S35" s="8"/>
      <c r="T35" s="11"/>
      <c r="U35" s="8"/>
      <c r="V35" s="5"/>
      <c r="W35" s="8"/>
      <c r="X35" s="5"/>
      <c r="Y35" s="8">
        <f>X35*6000*0.5</f>
        <v>0</v>
      </c>
      <c r="Z35" s="5"/>
      <c r="AA35" s="8"/>
      <c r="AB35" s="5"/>
      <c r="AC35" s="8"/>
      <c r="AD35" s="11"/>
      <c r="AE35" s="8"/>
    </row>
    <row r="36" spans="1:31" x14ac:dyDescent="0.25">
      <c r="A36" s="17" t="s">
        <v>216</v>
      </c>
      <c r="B36" s="3"/>
      <c r="C36" s="4"/>
      <c r="D36" s="3"/>
      <c r="E36" s="4"/>
      <c r="F36" s="5"/>
      <c r="G36" s="8"/>
      <c r="H36" s="5"/>
      <c r="I36" s="8"/>
      <c r="J36" s="5"/>
      <c r="K36" s="8"/>
      <c r="L36" s="5"/>
      <c r="M36" s="8"/>
      <c r="N36" s="5"/>
      <c r="O36" s="8">
        <v>70550.5</v>
      </c>
      <c r="P36" s="5"/>
      <c r="Q36" s="8"/>
      <c r="R36" s="5"/>
      <c r="S36" s="8"/>
      <c r="T36" s="11"/>
      <c r="U36" s="8"/>
      <c r="V36" s="5"/>
      <c r="W36" s="8"/>
      <c r="X36" s="5"/>
      <c r="Y36" s="8"/>
      <c r="Z36" s="5"/>
      <c r="AA36" s="8"/>
      <c r="AB36" s="5"/>
      <c r="AC36" s="8"/>
      <c r="AD36" s="11"/>
      <c r="AE36" s="8"/>
    </row>
    <row r="37" spans="1:31" x14ac:dyDescent="0.25">
      <c r="A37" s="17" t="s">
        <v>49</v>
      </c>
      <c r="B37" s="3"/>
      <c r="C37" s="4"/>
      <c r="D37" s="3"/>
      <c r="E37" s="4"/>
      <c r="F37" s="5"/>
      <c r="G37" s="8"/>
      <c r="H37" s="5"/>
      <c r="I37" s="8"/>
      <c r="J37" s="5"/>
      <c r="K37" s="8"/>
      <c r="L37" s="5"/>
      <c r="M37" s="8"/>
      <c r="N37" s="5"/>
      <c r="O37" s="8">
        <v>30000</v>
      </c>
      <c r="P37" s="5"/>
      <c r="Q37" s="8"/>
      <c r="R37" s="5"/>
      <c r="S37" s="8"/>
      <c r="T37" s="11"/>
      <c r="U37" s="8"/>
      <c r="V37" s="5"/>
      <c r="W37" s="8"/>
      <c r="X37" s="5"/>
      <c r="Y37" s="8"/>
      <c r="Z37" s="5"/>
      <c r="AA37" s="8"/>
      <c r="AB37" s="5"/>
      <c r="AC37" s="8"/>
      <c r="AD37" s="11"/>
      <c r="AE37" s="8"/>
    </row>
    <row r="38" spans="1:31" x14ac:dyDescent="0.25">
      <c r="A38" s="17" t="s">
        <v>167</v>
      </c>
      <c r="B38" s="3"/>
      <c r="C38" s="4"/>
      <c r="D38" s="3"/>
      <c r="E38" s="4"/>
      <c r="F38" s="5"/>
      <c r="G38" s="8"/>
      <c r="H38" s="5"/>
      <c r="I38" s="8"/>
      <c r="J38" s="5"/>
      <c r="K38" s="8"/>
      <c r="L38" s="5"/>
      <c r="M38" s="8"/>
      <c r="N38" s="5"/>
      <c r="O38" s="8"/>
      <c r="P38" s="5"/>
      <c r="Q38" s="8"/>
      <c r="R38" s="5"/>
      <c r="S38" s="8"/>
      <c r="T38" s="11"/>
      <c r="U38" s="8"/>
      <c r="V38" s="5"/>
      <c r="W38" s="8"/>
      <c r="X38" s="5"/>
      <c r="Y38" s="8"/>
      <c r="Z38" s="5"/>
      <c r="AA38" s="8"/>
      <c r="AB38" s="5"/>
      <c r="AC38" s="8">
        <f>AB38*2500*0.4</f>
        <v>0</v>
      </c>
      <c r="AD38" s="11"/>
      <c r="AE38" s="8"/>
    </row>
    <row r="39" spans="1:31" x14ac:dyDescent="0.25">
      <c r="A39" s="17" t="s">
        <v>168</v>
      </c>
      <c r="B39" s="3"/>
      <c r="C39" s="4"/>
      <c r="D39" s="3"/>
      <c r="E39" s="4"/>
      <c r="F39" s="5"/>
      <c r="G39" s="8"/>
      <c r="H39" s="5"/>
      <c r="I39" s="8"/>
      <c r="J39" s="5"/>
      <c r="K39" s="8"/>
      <c r="L39" s="5"/>
      <c r="M39" s="8"/>
      <c r="N39" s="5"/>
      <c r="O39" s="8"/>
      <c r="P39" s="5"/>
      <c r="Q39" s="8"/>
      <c r="R39" s="5"/>
      <c r="S39" s="8"/>
      <c r="T39" s="11"/>
      <c r="U39" s="8"/>
      <c r="V39" s="5"/>
      <c r="W39" s="8"/>
      <c r="X39" s="5"/>
      <c r="Y39" s="8"/>
      <c r="Z39" s="5"/>
      <c r="AA39" s="8"/>
      <c r="AB39" s="5"/>
      <c r="AC39" s="8">
        <f>AB39*700*0.4</f>
        <v>0</v>
      </c>
      <c r="AD39" s="11"/>
      <c r="AE39" s="8"/>
    </row>
    <row r="40" spans="1:31" x14ac:dyDescent="0.25">
      <c r="A40" s="18">
        <v>0.3</v>
      </c>
      <c r="B40" s="3"/>
      <c r="C40" s="4"/>
      <c r="D40" s="3"/>
      <c r="E40" s="4"/>
      <c r="F40" s="5"/>
      <c r="G40" s="8"/>
      <c r="H40" s="5"/>
      <c r="I40" s="8"/>
      <c r="J40" s="5"/>
      <c r="K40" s="8"/>
      <c r="L40" s="5"/>
      <c r="M40" s="8"/>
      <c r="N40" s="5"/>
      <c r="O40" s="8">
        <v>35017.5</v>
      </c>
      <c r="P40" s="5"/>
      <c r="Q40" s="8"/>
      <c r="R40" s="5"/>
      <c r="S40" s="8"/>
      <c r="T40" s="11"/>
      <c r="U40" s="8"/>
      <c r="V40" s="5"/>
      <c r="W40" s="8"/>
      <c r="X40" s="5"/>
      <c r="Y40" s="8"/>
      <c r="Z40" s="5"/>
      <c r="AA40" s="8"/>
      <c r="AB40" s="5"/>
      <c r="AC40" s="8"/>
      <c r="AD40" s="11"/>
      <c r="AE40" s="8"/>
    </row>
    <row r="41" spans="1:31" ht="15.75" thickBot="1" x14ac:dyDescent="0.3">
      <c r="A41" s="17" t="s">
        <v>186</v>
      </c>
      <c r="B41" s="6"/>
      <c r="C41" s="7"/>
      <c r="D41" s="6"/>
      <c r="E41" s="7"/>
      <c r="F41" s="9"/>
      <c r="G41" s="10"/>
      <c r="H41" s="9"/>
      <c r="I41" s="10"/>
      <c r="J41" s="9"/>
      <c r="K41" s="10"/>
      <c r="L41" s="9"/>
      <c r="M41" s="10"/>
      <c r="N41" s="9"/>
      <c r="O41" s="10"/>
      <c r="P41" s="9"/>
      <c r="Q41" s="10"/>
      <c r="R41" s="9"/>
      <c r="S41" s="10"/>
      <c r="T41" s="9"/>
      <c r="U41" s="10"/>
      <c r="V41" s="9"/>
      <c r="W41" s="10"/>
      <c r="X41" s="9"/>
      <c r="Y41" s="10"/>
      <c r="Z41" s="9"/>
      <c r="AA41" s="10"/>
      <c r="AB41" s="9"/>
      <c r="AC41" s="10"/>
      <c r="AD41" s="9"/>
      <c r="AE41" s="10"/>
    </row>
    <row r="42" spans="1:31" x14ac:dyDescent="0.25">
      <c r="A42" s="50"/>
      <c r="B42" s="43"/>
      <c r="C42" s="43">
        <f>SUM(C6:C41)</f>
        <v>0</v>
      </c>
      <c r="D42" s="43"/>
      <c r="E42" s="43">
        <f>SUM(E6:E41)</f>
        <v>0</v>
      </c>
      <c r="G42" s="46">
        <f>SUM(G6:G41)</f>
        <v>0</v>
      </c>
      <c r="I42" s="2">
        <f>SUM(I6:I25)</f>
        <v>0</v>
      </c>
      <c r="K42" s="2">
        <f>SUM(K6:K41)</f>
        <v>0</v>
      </c>
      <c r="M42" s="46">
        <f>SUM(M6:M25)</f>
        <v>0</v>
      </c>
      <c r="O42" s="2">
        <f>SUM(O6:O41)</f>
        <v>135568</v>
      </c>
      <c r="Q42" s="2">
        <f>SUM(Q6:Q41)</f>
        <v>0</v>
      </c>
      <c r="S42" s="2">
        <f>SUM(S6:S41)</f>
        <v>0</v>
      </c>
      <c r="U42" s="46">
        <f>SUM(U6:U25)</f>
        <v>0</v>
      </c>
      <c r="W42" s="46">
        <f>SUM(W6:W41)</f>
        <v>0</v>
      </c>
      <c r="Y42" s="46">
        <f>SUM(Y6:Y41)</f>
        <v>0</v>
      </c>
      <c r="AA42" s="46">
        <f>SUM(AA6:AA41)</f>
        <v>0</v>
      </c>
      <c r="AC42" s="46">
        <f>SUM(AC6:AC41)</f>
        <v>0</v>
      </c>
      <c r="AE42" s="8">
        <f>SUM(AE6:AE25)</f>
        <v>0</v>
      </c>
    </row>
    <row r="43" spans="1:31" x14ac:dyDescent="0.25">
      <c r="A43" s="50"/>
      <c r="B43" s="43"/>
      <c r="C43" s="43"/>
      <c r="D43" s="43"/>
      <c r="E43" s="43"/>
      <c r="G43" s="2"/>
      <c r="I43" s="2"/>
      <c r="K43" s="2"/>
      <c r="M43" s="2"/>
      <c r="O43" s="2"/>
      <c r="Q43" s="2"/>
      <c r="S43" s="2"/>
      <c r="U43" s="2"/>
      <c r="W43" s="2"/>
      <c r="Y43" s="2"/>
      <c r="AA43" s="2"/>
      <c r="AC43" s="2"/>
      <c r="AE43" s="8"/>
    </row>
    <row r="44" spans="1:31" x14ac:dyDescent="0.25">
      <c r="A44" s="50"/>
      <c r="B44" s="43"/>
      <c r="C44" s="43"/>
      <c r="D44" s="43"/>
      <c r="E44" s="43"/>
      <c r="AE44" s="19"/>
    </row>
    <row r="45" spans="1:31" ht="15.75" thickBot="1" x14ac:dyDescent="0.3">
      <c r="A45" s="51"/>
      <c r="B45" s="47"/>
      <c r="C45" s="47"/>
      <c r="D45" s="47"/>
      <c r="E45" s="47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  <c r="AA45" s="48"/>
      <c r="AB45" s="48"/>
      <c r="AC45" s="48"/>
      <c r="AD45" s="48"/>
      <c r="AE45" s="49"/>
    </row>
  </sheetData>
  <pageMargins left="0.7" right="0.7" top="0.75" bottom="0.75" header="0.3" footer="0.3"/>
  <pageSetup scale="76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O31"/>
  <sheetViews>
    <sheetView zoomScale="80" zoomScaleNormal="80" workbookViewId="0">
      <pane xSplit="1" topLeftCell="P1" activePane="topRight" state="frozen"/>
      <selection pane="topRight" activeCell="AM34" sqref="AM34"/>
    </sheetView>
  </sheetViews>
  <sheetFormatPr defaultColWidth="11.140625" defaultRowHeight="12.75" x14ac:dyDescent="0.2"/>
  <cols>
    <col min="1" max="1" width="11.140625" style="66"/>
    <col min="2" max="3" width="11.140625" style="81"/>
    <col min="4" max="4" width="13.5703125" style="66" bestFit="1" customWidth="1"/>
    <col min="5" max="5" width="12" style="66" bestFit="1" customWidth="1"/>
    <col min="6" max="6" width="11.140625" style="66"/>
    <col min="7" max="7" width="12" style="66" bestFit="1" customWidth="1"/>
    <col min="8" max="8" width="11.140625" style="66"/>
    <col min="9" max="9" width="10.85546875" style="66" bestFit="1" customWidth="1"/>
    <col min="10" max="10" width="11.140625" style="66"/>
    <col min="11" max="11" width="10.85546875" style="66" bestFit="1" customWidth="1"/>
    <col min="12" max="12" width="11.140625" style="66"/>
    <col min="13" max="13" width="10.85546875" style="66" bestFit="1" customWidth="1"/>
    <col min="14" max="14" width="11" style="66" bestFit="1" customWidth="1"/>
    <col min="15" max="15" width="10.85546875" style="66" bestFit="1" customWidth="1"/>
    <col min="16" max="16" width="11.140625" style="66"/>
    <col min="17" max="17" width="10.85546875" style="66" bestFit="1" customWidth="1"/>
    <col min="18" max="19" width="11.140625" style="66"/>
    <col min="20" max="20" width="8.140625" style="66" bestFit="1" customWidth="1"/>
    <col min="21" max="21" width="9.85546875" style="66" bestFit="1" customWidth="1"/>
    <col min="22" max="22" width="10.42578125" style="66" customWidth="1"/>
    <col min="23" max="23" width="10.85546875" style="66" bestFit="1" customWidth="1"/>
    <col min="24" max="24" width="9.140625" style="66" customWidth="1"/>
    <col min="25" max="25" width="11.140625" style="66"/>
    <col min="26" max="26" width="9.5703125" style="66" customWidth="1"/>
    <col min="27" max="27" width="11.140625" style="66"/>
    <col min="28" max="28" width="9.7109375" style="66" customWidth="1"/>
    <col min="29" max="29" width="10.85546875" style="66" bestFit="1" customWidth="1"/>
    <col min="30" max="30" width="11.140625" style="66"/>
    <col min="31" max="31" width="10.85546875" style="66" bestFit="1" customWidth="1"/>
    <col min="32" max="32" width="11.140625" style="66"/>
    <col min="33" max="33" width="8.140625" style="66" bestFit="1" customWidth="1"/>
    <col min="34" max="34" width="11.140625" style="66"/>
    <col min="35" max="35" width="10.85546875" style="66" bestFit="1" customWidth="1"/>
    <col min="36" max="36" width="11.140625" style="66"/>
    <col min="37" max="37" width="5" style="66" bestFit="1" customWidth="1"/>
    <col min="38" max="38" width="11.140625" style="66"/>
    <col min="39" max="39" width="5" style="66" bestFit="1" customWidth="1"/>
    <col min="40" max="16384" width="11.140625" style="66"/>
  </cols>
  <sheetData>
    <row r="1" spans="1:41" s="61" customFormat="1" x14ac:dyDescent="0.2">
      <c r="A1" s="56"/>
      <c r="B1" s="57" t="s">
        <v>65</v>
      </c>
      <c r="C1" s="58"/>
      <c r="D1" s="59" t="s">
        <v>72</v>
      </c>
      <c r="E1" s="60"/>
      <c r="F1" s="59" t="s">
        <v>66</v>
      </c>
      <c r="G1" s="60"/>
      <c r="H1" s="59" t="s">
        <v>77</v>
      </c>
      <c r="I1" s="60"/>
      <c r="J1" s="59" t="s">
        <v>76</v>
      </c>
      <c r="K1" s="60"/>
      <c r="L1" s="59" t="s">
        <v>70</v>
      </c>
      <c r="M1" s="60"/>
      <c r="N1" s="59" t="s">
        <v>36</v>
      </c>
      <c r="O1" s="60"/>
      <c r="P1" s="59" t="s">
        <v>78</v>
      </c>
      <c r="Q1" s="60"/>
      <c r="R1" s="59" t="s">
        <v>178</v>
      </c>
      <c r="S1" s="60"/>
      <c r="T1" s="59" t="s">
        <v>79</v>
      </c>
      <c r="U1" s="60"/>
      <c r="V1" s="59" t="s">
        <v>80</v>
      </c>
      <c r="W1" s="60"/>
      <c r="X1" s="59" t="s">
        <v>208</v>
      </c>
      <c r="Y1" s="60"/>
      <c r="Z1" s="59" t="s">
        <v>187</v>
      </c>
      <c r="AA1" s="60"/>
      <c r="AB1" s="59" t="s">
        <v>81</v>
      </c>
      <c r="AC1" s="60"/>
      <c r="AD1" s="59" t="s">
        <v>209</v>
      </c>
      <c r="AE1" s="60"/>
      <c r="AF1" s="59" t="s">
        <v>188</v>
      </c>
      <c r="AG1" s="60"/>
      <c r="AH1" s="59" t="s">
        <v>84</v>
      </c>
      <c r="AI1" s="60"/>
      <c r="AJ1" s="59" t="s">
        <v>82</v>
      </c>
      <c r="AK1" s="60"/>
      <c r="AL1" s="59" t="s">
        <v>83</v>
      </c>
      <c r="AM1" s="60"/>
      <c r="AN1" s="59" t="s">
        <v>69</v>
      </c>
      <c r="AO1" s="60"/>
    </row>
    <row r="2" spans="1:41" x14ac:dyDescent="0.2">
      <c r="A2" s="62" t="s">
        <v>0</v>
      </c>
      <c r="B2" s="63"/>
      <c r="C2" s="64"/>
      <c r="D2" s="65"/>
      <c r="E2" s="64"/>
      <c r="F2" s="65"/>
      <c r="G2" s="64"/>
      <c r="H2" s="65"/>
      <c r="I2" s="64"/>
      <c r="J2" s="65"/>
      <c r="K2" s="64"/>
      <c r="L2" s="65"/>
      <c r="M2" s="64"/>
      <c r="N2" s="65"/>
      <c r="O2" s="64"/>
      <c r="P2" s="65"/>
      <c r="Q2" s="64"/>
      <c r="R2" s="65"/>
      <c r="S2" s="64"/>
      <c r="T2" s="65"/>
      <c r="U2" s="64"/>
      <c r="V2" s="65"/>
      <c r="W2" s="64"/>
      <c r="X2" s="65"/>
      <c r="Y2" s="64"/>
      <c r="Z2" s="65"/>
      <c r="AA2" s="64"/>
      <c r="AB2" s="65"/>
      <c r="AC2" s="64"/>
      <c r="AD2" s="65"/>
      <c r="AE2" s="64"/>
      <c r="AF2" s="65"/>
      <c r="AG2" s="64"/>
      <c r="AH2" s="65"/>
      <c r="AI2" s="64"/>
      <c r="AJ2" s="65"/>
      <c r="AK2" s="64"/>
      <c r="AL2" s="65"/>
      <c r="AM2" s="64"/>
      <c r="AN2" s="65"/>
      <c r="AO2" s="64"/>
    </row>
    <row r="3" spans="1:41" s="71" customFormat="1" x14ac:dyDescent="0.2">
      <c r="A3" s="67" t="s">
        <v>23</v>
      </c>
      <c r="B3" s="68"/>
      <c r="C3" s="69"/>
      <c r="D3" s="70"/>
      <c r="E3" s="69"/>
      <c r="F3" s="70"/>
      <c r="G3" s="69"/>
      <c r="H3" s="70"/>
      <c r="I3" s="69"/>
      <c r="J3" s="70"/>
      <c r="K3" s="69"/>
      <c r="L3" s="70"/>
      <c r="M3" s="69"/>
      <c r="N3" s="70"/>
      <c r="O3" s="69"/>
      <c r="P3" s="70"/>
      <c r="Q3" s="69"/>
      <c r="R3" s="70"/>
      <c r="S3" s="69"/>
      <c r="T3" s="70"/>
      <c r="U3" s="69"/>
      <c r="V3" s="70"/>
      <c r="W3" s="69"/>
      <c r="X3" s="70"/>
      <c r="Y3" s="69"/>
      <c r="Z3" s="70"/>
      <c r="AA3" s="69"/>
      <c r="AB3" s="70"/>
      <c r="AC3" s="69"/>
      <c r="AD3" s="70"/>
      <c r="AE3" s="69"/>
      <c r="AF3" s="70"/>
      <c r="AG3" s="69"/>
      <c r="AH3" s="70"/>
      <c r="AI3" s="69"/>
      <c r="AJ3" s="70"/>
      <c r="AK3" s="69"/>
      <c r="AL3" s="70"/>
      <c r="AM3" s="69"/>
      <c r="AN3" s="70"/>
      <c r="AO3" s="69"/>
    </row>
    <row r="4" spans="1:41" x14ac:dyDescent="0.2">
      <c r="A4" s="62" t="s">
        <v>1</v>
      </c>
      <c r="B4" s="63"/>
      <c r="C4" s="64"/>
      <c r="D4" s="65"/>
      <c r="E4" s="64"/>
      <c r="F4" s="65"/>
      <c r="G4" s="64"/>
      <c r="H4" s="65"/>
      <c r="I4" s="64"/>
      <c r="J4" s="65"/>
      <c r="K4" s="64"/>
      <c r="L4" s="65"/>
      <c r="M4" s="64"/>
      <c r="N4" s="65"/>
      <c r="O4" s="64"/>
      <c r="P4" s="65"/>
      <c r="Q4" s="64"/>
      <c r="R4" s="65"/>
      <c r="S4" s="64"/>
      <c r="T4" s="65"/>
      <c r="U4" s="64"/>
      <c r="V4" s="65"/>
      <c r="W4" s="64"/>
      <c r="X4" s="65"/>
      <c r="Y4" s="64"/>
      <c r="Z4" s="65"/>
      <c r="AA4" s="64"/>
      <c r="AB4" s="65"/>
      <c r="AC4" s="64"/>
      <c r="AD4" s="65"/>
      <c r="AE4" s="64"/>
      <c r="AF4" s="65"/>
      <c r="AG4" s="64"/>
      <c r="AH4" s="65"/>
      <c r="AI4" s="64"/>
      <c r="AJ4" s="65"/>
      <c r="AK4" s="64"/>
      <c r="AL4" s="65"/>
      <c r="AM4" s="64"/>
      <c r="AN4" s="65"/>
      <c r="AO4" s="64"/>
    </row>
    <row r="5" spans="1:41" s="71" customFormat="1" x14ac:dyDescent="0.2">
      <c r="A5" s="67" t="s">
        <v>2</v>
      </c>
      <c r="B5" s="68"/>
      <c r="C5" s="69"/>
      <c r="D5" s="70"/>
      <c r="E5" s="69"/>
      <c r="F5" s="70"/>
      <c r="G5" s="69"/>
      <c r="H5" s="70"/>
      <c r="I5" s="69"/>
      <c r="J5" s="70"/>
      <c r="K5" s="69"/>
      <c r="L5" s="70"/>
      <c r="M5" s="69"/>
      <c r="N5" s="70"/>
      <c r="O5" s="69"/>
      <c r="P5" s="70"/>
      <c r="Q5" s="69"/>
      <c r="R5" s="70"/>
      <c r="S5" s="69"/>
      <c r="T5" s="70"/>
      <c r="U5" s="69"/>
      <c r="V5" s="70"/>
      <c r="W5" s="69"/>
      <c r="X5" s="70"/>
      <c r="Y5" s="69"/>
      <c r="Z5" s="70"/>
      <c r="AA5" s="69"/>
      <c r="AB5" s="70"/>
      <c r="AC5" s="69"/>
      <c r="AD5" s="70"/>
      <c r="AE5" s="69"/>
      <c r="AF5" s="70"/>
      <c r="AG5" s="69"/>
      <c r="AH5" s="70"/>
      <c r="AI5" s="69"/>
      <c r="AJ5" s="70"/>
      <c r="AK5" s="69"/>
      <c r="AL5" s="70"/>
      <c r="AM5" s="69"/>
      <c r="AN5" s="70"/>
      <c r="AO5" s="69"/>
    </row>
    <row r="6" spans="1:41" x14ac:dyDescent="0.2">
      <c r="A6" s="62"/>
      <c r="B6" s="63">
        <f>SUM(B2:B5)</f>
        <v>0</v>
      </c>
      <c r="C6" s="64">
        <f>B6*0.02</f>
        <v>0</v>
      </c>
      <c r="D6" s="65">
        <f>SUM(D2:D5)</f>
        <v>0</v>
      </c>
      <c r="E6" s="64">
        <f>D6*0.02</f>
        <v>0</v>
      </c>
      <c r="F6" s="65">
        <f>SUM(F2:F5)</f>
        <v>0</v>
      </c>
      <c r="G6" s="64">
        <f>F6*0.02</f>
        <v>0</v>
      </c>
      <c r="H6" s="65">
        <f>SUM(H2:H5)</f>
        <v>0</v>
      </c>
      <c r="I6" s="64">
        <f>H6*0.02</f>
        <v>0</v>
      </c>
      <c r="J6" s="65">
        <f>SUM(J2:J5)</f>
        <v>0</v>
      </c>
      <c r="K6" s="64">
        <f>J6*0.02</f>
        <v>0</v>
      </c>
      <c r="L6" s="65">
        <f>SUM(L2:L5)</f>
        <v>0</v>
      </c>
      <c r="M6" s="64">
        <f>L6*0.02</f>
        <v>0</v>
      </c>
      <c r="N6" s="65">
        <f>SUM(N2:N5)</f>
        <v>0</v>
      </c>
      <c r="O6" s="64">
        <f>N6*0.02</f>
        <v>0</v>
      </c>
      <c r="P6" s="65">
        <f>SUM(P2:P5)</f>
        <v>0</v>
      </c>
      <c r="Q6" s="64">
        <f>P6*0.02</f>
        <v>0</v>
      </c>
      <c r="R6" s="65">
        <f>SUM(R2:R5)</f>
        <v>0</v>
      </c>
      <c r="S6" s="64">
        <f>R6*0.02</f>
        <v>0</v>
      </c>
      <c r="T6" s="65">
        <f>SUM(T2:T5)</f>
        <v>0</v>
      </c>
      <c r="U6" s="64">
        <f>T6*0.02</f>
        <v>0</v>
      </c>
      <c r="V6" s="65">
        <f>SUM(V2:V5)</f>
        <v>0</v>
      </c>
      <c r="W6" s="64">
        <f>V6*0.02</f>
        <v>0</v>
      </c>
      <c r="X6" s="65">
        <f>SUM(X2:X5)</f>
        <v>0</v>
      </c>
      <c r="Y6" s="64">
        <f>X6*0.02</f>
        <v>0</v>
      </c>
      <c r="Z6" s="65">
        <f>SUM(Z2:Z5)</f>
        <v>0</v>
      </c>
      <c r="AA6" s="64">
        <f>Z6*0.02</f>
        <v>0</v>
      </c>
      <c r="AB6" s="65">
        <f>SUM(AB2:AB5)</f>
        <v>0</v>
      </c>
      <c r="AC6" s="64">
        <f>AB6*0.02</f>
        <v>0</v>
      </c>
      <c r="AD6" s="65">
        <f>SUM(AD2:AD5)</f>
        <v>0</v>
      </c>
      <c r="AE6" s="64">
        <f>AD6*0.02</f>
        <v>0</v>
      </c>
      <c r="AF6" s="65">
        <f>SUM(AF2:AF5)</f>
        <v>0</v>
      </c>
      <c r="AG6" s="64">
        <f>AF6*0.02</f>
        <v>0</v>
      </c>
      <c r="AH6" s="65">
        <f>SUM(AH2:AH5)</f>
        <v>0</v>
      </c>
      <c r="AI6" s="64">
        <f>AH6*0.02</f>
        <v>0</v>
      </c>
      <c r="AJ6" s="65">
        <f>SUM(AJ2:AJ5)</f>
        <v>0</v>
      </c>
      <c r="AK6" s="64">
        <f>AJ6*0.02</f>
        <v>0</v>
      </c>
      <c r="AL6" s="65">
        <f>SUM(AL2:AL5)</f>
        <v>0</v>
      </c>
      <c r="AM6" s="64">
        <f>AL6*0.02</f>
        <v>0</v>
      </c>
      <c r="AN6" s="65">
        <f>SUM(AN2:AN5)</f>
        <v>0</v>
      </c>
      <c r="AO6" s="64">
        <f>AN6*0.02</f>
        <v>0</v>
      </c>
    </row>
    <row r="7" spans="1:41" x14ac:dyDescent="0.2">
      <c r="A7" s="62"/>
      <c r="B7" s="63"/>
      <c r="C7" s="64"/>
      <c r="D7" s="65"/>
      <c r="E7" s="64"/>
      <c r="F7" s="65"/>
      <c r="G7" s="64"/>
      <c r="H7" s="65"/>
      <c r="I7" s="64"/>
      <c r="J7" s="65"/>
      <c r="K7" s="64"/>
      <c r="L7" s="65"/>
      <c r="M7" s="64"/>
      <c r="N7" s="65"/>
      <c r="O7" s="64"/>
      <c r="P7" s="65"/>
      <c r="Q7" s="64"/>
      <c r="R7" s="65"/>
      <c r="S7" s="64"/>
      <c r="T7" s="65"/>
      <c r="U7" s="64"/>
      <c r="V7" s="65"/>
      <c r="W7" s="64"/>
      <c r="X7" s="65"/>
      <c r="Y7" s="64"/>
      <c r="Z7" s="65"/>
      <c r="AA7" s="64"/>
      <c r="AB7" s="65"/>
      <c r="AC7" s="64"/>
      <c r="AD7" s="65"/>
      <c r="AE7" s="64"/>
      <c r="AF7" s="65"/>
      <c r="AG7" s="64"/>
      <c r="AH7" s="65"/>
      <c r="AI7" s="64"/>
      <c r="AJ7" s="65"/>
      <c r="AK7" s="64"/>
      <c r="AL7" s="65"/>
      <c r="AM7" s="64"/>
      <c r="AN7" s="65"/>
      <c r="AO7" s="64"/>
    </row>
    <row r="8" spans="1:41" x14ac:dyDescent="0.2">
      <c r="A8" s="62" t="s">
        <v>12</v>
      </c>
      <c r="B8" s="72"/>
      <c r="C8" s="64">
        <f>B8*1500*0.2</f>
        <v>0</v>
      </c>
      <c r="D8" s="73"/>
      <c r="E8" s="64">
        <f>D8*1500*0.6</f>
        <v>0</v>
      </c>
      <c r="F8" s="73"/>
      <c r="G8" s="64">
        <f>F8*1500*0.6</f>
        <v>0</v>
      </c>
      <c r="H8" s="73"/>
      <c r="I8" s="64">
        <f>H8*1500*0.6</f>
        <v>0</v>
      </c>
      <c r="J8" s="73"/>
      <c r="K8" s="64">
        <f>J8*1500*0.6</f>
        <v>0</v>
      </c>
      <c r="L8" s="73"/>
      <c r="M8" s="64">
        <f>L8*1500*0.6</f>
        <v>0</v>
      </c>
      <c r="N8" s="73"/>
      <c r="O8" s="64">
        <f>N8*1500*0.6</f>
        <v>0</v>
      </c>
      <c r="P8" s="73"/>
      <c r="Q8" s="64">
        <f>P8*1500*0.6</f>
        <v>0</v>
      </c>
      <c r="R8" s="73"/>
      <c r="S8" s="64">
        <f>R8*1500*0.6</f>
        <v>0</v>
      </c>
      <c r="T8" s="73"/>
      <c r="U8" s="64">
        <f>T8*1500*0.6</f>
        <v>0</v>
      </c>
      <c r="V8" s="73"/>
      <c r="W8" s="64">
        <f>V8*1500*0.6</f>
        <v>0</v>
      </c>
      <c r="X8" s="73"/>
      <c r="Y8" s="64">
        <f>X8*1500*0.6</f>
        <v>0</v>
      </c>
      <c r="Z8" s="73"/>
      <c r="AA8" s="64">
        <f>Z8*1500*0.6</f>
        <v>0</v>
      </c>
      <c r="AB8" s="73"/>
      <c r="AC8" s="64">
        <f>AB8*1500*0.6</f>
        <v>0</v>
      </c>
      <c r="AD8" s="73"/>
      <c r="AE8" s="64">
        <f>AD8*1500*0.6</f>
        <v>0</v>
      </c>
      <c r="AF8" s="73"/>
      <c r="AG8" s="64">
        <f>AF8*1500*0.6</f>
        <v>0</v>
      </c>
      <c r="AH8" s="73"/>
      <c r="AI8" s="64">
        <f>AH8*1500*0.6</f>
        <v>0</v>
      </c>
      <c r="AJ8" s="73"/>
      <c r="AK8" s="64">
        <f>AJ8*1500*0.6</f>
        <v>0</v>
      </c>
      <c r="AL8" s="73"/>
      <c r="AM8" s="64">
        <f>AL8*1500*0.6</f>
        <v>0</v>
      </c>
      <c r="AN8" s="73"/>
      <c r="AO8" s="64">
        <f>AN8*1500*0.6</f>
        <v>0</v>
      </c>
    </row>
    <row r="9" spans="1:41" x14ac:dyDescent="0.2">
      <c r="A9" s="62" t="s">
        <v>13</v>
      </c>
      <c r="B9" s="72"/>
      <c r="C9" s="64">
        <f>B9*800*0.2</f>
        <v>0</v>
      </c>
      <c r="D9" s="73"/>
      <c r="E9" s="64">
        <f>D9*800*0.6</f>
        <v>0</v>
      </c>
      <c r="F9" s="73"/>
      <c r="G9" s="64">
        <f>F9*800*0.6</f>
        <v>0</v>
      </c>
      <c r="H9" s="73"/>
      <c r="I9" s="64">
        <f>H9*800*0.6</f>
        <v>0</v>
      </c>
      <c r="J9" s="73"/>
      <c r="K9" s="64">
        <f>J9*800*0.6</f>
        <v>0</v>
      </c>
      <c r="L9" s="73"/>
      <c r="M9" s="64">
        <f>L9*800*0.6</f>
        <v>0</v>
      </c>
      <c r="N9" s="73"/>
      <c r="O9" s="64">
        <f>N9*800*0.6</f>
        <v>0</v>
      </c>
      <c r="P9" s="73"/>
      <c r="Q9" s="64">
        <f>P9*800*0.6</f>
        <v>0</v>
      </c>
      <c r="R9" s="73"/>
      <c r="S9" s="64">
        <f>R9*800*0.6</f>
        <v>0</v>
      </c>
      <c r="T9" s="73"/>
      <c r="U9" s="64">
        <f>T9*800*0.6</f>
        <v>0</v>
      </c>
      <c r="V9" s="73"/>
      <c r="W9" s="64">
        <f>V9*800*0.6</f>
        <v>0</v>
      </c>
      <c r="X9" s="73"/>
      <c r="Y9" s="64">
        <f>X9*800*0.6</f>
        <v>0</v>
      </c>
      <c r="Z9" s="73"/>
      <c r="AA9" s="64">
        <f>Z9*800*0.6</f>
        <v>0</v>
      </c>
      <c r="AB9" s="73"/>
      <c r="AC9" s="64">
        <f>AB9*800*0.6</f>
        <v>0</v>
      </c>
      <c r="AD9" s="73"/>
      <c r="AE9" s="64">
        <f>AD9*800*0.6</f>
        <v>0</v>
      </c>
      <c r="AF9" s="73"/>
      <c r="AG9" s="64">
        <f>AF9*800*0.6</f>
        <v>0</v>
      </c>
      <c r="AH9" s="73"/>
      <c r="AI9" s="64">
        <f>AH9*800*0.6</f>
        <v>0</v>
      </c>
      <c r="AJ9" s="73"/>
      <c r="AK9" s="64">
        <f>AJ9*800*0.6</f>
        <v>0</v>
      </c>
      <c r="AL9" s="73"/>
      <c r="AM9" s="64">
        <f>AL9*800*0.6</f>
        <v>0</v>
      </c>
      <c r="AN9" s="73"/>
      <c r="AO9" s="64">
        <f>AN9*800*0.6</f>
        <v>0</v>
      </c>
    </row>
    <row r="10" spans="1:41" x14ac:dyDescent="0.2">
      <c r="A10" s="62" t="s">
        <v>3</v>
      </c>
      <c r="B10" s="72"/>
      <c r="C10" s="64">
        <f>B10*100</f>
        <v>0</v>
      </c>
      <c r="D10" s="73"/>
      <c r="E10" s="64">
        <f>D10*100</f>
        <v>0</v>
      </c>
      <c r="F10" s="73"/>
      <c r="G10" s="64">
        <f>F10*100</f>
        <v>0</v>
      </c>
      <c r="H10" s="73"/>
      <c r="I10" s="64">
        <f>H10*100</f>
        <v>0</v>
      </c>
      <c r="J10" s="73"/>
      <c r="K10" s="64">
        <f>J10*100</f>
        <v>0</v>
      </c>
      <c r="L10" s="73"/>
      <c r="M10" s="64">
        <f>L10*100</f>
        <v>0</v>
      </c>
      <c r="N10" s="73"/>
      <c r="O10" s="64">
        <f>N10*100</f>
        <v>0</v>
      </c>
      <c r="P10" s="73"/>
      <c r="Q10" s="64">
        <f>P10*100</f>
        <v>0</v>
      </c>
      <c r="R10" s="73"/>
      <c r="S10" s="64">
        <f>R10*100</f>
        <v>0</v>
      </c>
      <c r="T10" s="73"/>
      <c r="U10" s="64">
        <f>T10*100</f>
        <v>0</v>
      </c>
      <c r="V10" s="73"/>
      <c r="W10" s="64">
        <f>V10*100</f>
        <v>0</v>
      </c>
      <c r="X10" s="73"/>
      <c r="Y10" s="64">
        <f>X10*100</f>
        <v>0</v>
      </c>
      <c r="Z10" s="73"/>
      <c r="AA10" s="64">
        <f>Z10*100</f>
        <v>0</v>
      </c>
      <c r="AB10" s="73"/>
      <c r="AC10" s="64">
        <f>AB10*100</f>
        <v>0</v>
      </c>
      <c r="AD10" s="73"/>
      <c r="AE10" s="64">
        <f>AD10*100</f>
        <v>0</v>
      </c>
      <c r="AF10" s="73"/>
      <c r="AG10" s="64">
        <f>AF10*100</f>
        <v>0</v>
      </c>
      <c r="AH10" s="73"/>
      <c r="AI10" s="64">
        <f>AH10*100</f>
        <v>0</v>
      </c>
      <c r="AJ10" s="73"/>
      <c r="AK10" s="64">
        <f>AJ10*100</f>
        <v>0</v>
      </c>
      <c r="AL10" s="73"/>
      <c r="AM10" s="64">
        <f>AL10*100</f>
        <v>0</v>
      </c>
      <c r="AN10" s="73"/>
      <c r="AO10" s="64">
        <f>AN10*100</f>
        <v>0</v>
      </c>
    </row>
    <row r="11" spans="1:41" x14ac:dyDescent="0.2">
      <c r="A11" s="62" t="s">
        <v>4</v>
      </c>
      <c r="B11" s="72"/>
      <c r="C11" s="64">
        <f>B11:B11*200</f>
        <v>0</v>
      </c>
      <c r="D11" s="73"/>
      <c r="E11" s="64">
        <f>D11:D11*200</f>
        <v>0</v>
      </c>
      <c r="F11" s="73"/>
      <c r="G11" s="64">
        <f>F11:F11*200</f>
        <v>0</v>
      </c>
      <c r="H11" s="73"/>
      <c r="I11" s="64">
        <f>H11:H11*200</f>
        <v>0</v>
      </c>
      <c r="J11" s="73"/>
      <c r="K11" s="64">
        <f>J11:J11*200</f>
        <v>0</v>
      </c>
      <c r="L11" s="73"/>
      <c r="M11" s="64">
        <f>L11:L11*200</f>
        <v>0</v>
      </c>
      <c r="N11" s="73"/>
      <c r="O11" s="64">
        <f>N11:N11*200</f>
        <v>0</v>
      </c>
      <c r="P11" s="73"/>
      <c r="Q11" s="64">
        <f>P11:P11*200</f>
        <v>0</v>
      </c>
      <c r="R11" s="73"/>
      <c r="S11" s="64">
        <f>R11:R11*200</f>
        <v>0</v>
      </c>
      <c r="T11" s="73"/>
      <c r="U11" s="64">
        <f>T11:T11*200</f>
        <v>0</v>
      </c>
      <c r="V11" s="73"/>
      <c r="W11" s="64">
        <f>V11:V11*200</f>
        <v>0</v>
      </c>
      <c r="X11" s="73"/>
      <c r="Y11" s="64">
        <f>X11:X11*200</f>
        <v>0</v>
      </c>
      <c r="Z11" s="73"/>
      <c r="AA11" s="64">
        <f>Z11:Z11*200</f>
        <v>0</v>
      </c>
      <c r="AB11" s="73"/>
      <c r="AC11" s="64">
        <f>AB11:AB11*200</f>
        <v>0</v>
      </c>
      <c r="AD11" s="73"/>
      <c r="AE11" s="64">
        <f>AD11:AD11*200</f>
        <v>0</v>
      </c>
      <c r="AF11" s="73"/>
      <c r="AG11" s="64">
        <f>AF11:AF11*200</f>
        <v>0</v>
      </c>
      <c r="AH11" s="73"/>
      <c r="AI11" s="64">
        <f>AH11:AH11*200</f>
        <v>0</v>
      </c>
      <c r="AJ11" s="73"/>
      <c r="AK11" s="64">
        <f>AJ11:AJ11*200</f>
        <v>0</v>
      </c>
      <c r="AL11" s="73"/>
      <c r="AM11" s="64">
        <f>AL11:AL11*200</f>
        <v>0</v>
      </c>
      <c r="AN11" s="73"/>
      <c r="AO11" s="64">
        <f>AN11:AN11*200</f>
        <v>0</v>
      </c>
    </row>
    <row r="12" spans="1:41" x14ac:dyDescent="0.2">
      <c r="A12" s="62" t="s">
        <v>5</v>
      </c>
      <c r="B12" s="72"/>
      <c r="C12" s="64">
        <f>B12:B12*200</f>
        <v>0</v>
      </c>
      <c r="D12" s="73"/>
      <c r="E12" s="64">
        <f>D12:D12*200</f>
        <v>0</v>
      </c>
      <c r="F12" s="73"/>
      <c r="G12" s="64">
        <f>F12:F12*200</f>
        <v>0</v>
      </c>
      <c r="H12" s="73"/>
      <c r="I12" s="64">
        <f>H12:H12*200</f>
        <v>0</v>
      </c>
      <c r="J12" s="73"/>
      <c r="K12" s="64">
        <f>J12:J12*200</f>
        <v>0</v>
      </c>
      <c r="L12" s="73"/>
      <c r="M12" s="64">
        <f>L12:L12*200</f>
        <v>0</v>
      </c>
      <c r="N12" s="73"/>
      <c r="O12" s="64">
        <f>N12:N12*200</f>
        <v>0</v>
      </c>
      <c r="P12" s="73"/>
      <c r="Q12" s="64">
        <f>P12:P12*200</f>
        <v>0</v>
      </c>
      <c r="R12" s="73"/>
      <c r="S12" s="64">
        <f>R12:R12*200</f>
        <v>0</v>
      </c>
      <c r="T12" s="73"/>
      <c r="U12" s="64">
        <f>T12:T12*200</f>
        <v>0</v>
      </c>
      <c r="V12" s="73"/>
      <c r="W12" s="64">
        <f>V12:V12*200</f>
        <v>0</v>
      </c>
      <c r="X12" s="73"/>
      <c r="Y12" s="64">
        <f>X12:X12*200</f>
        <v>0</v>
      </c>
      <c r="Z12" s="73"/>
      <c r="AA12" s="64">
        <f>Z12:Z12*200</f>
        <v>0</v>
      </c>
      <c r="AB12" s="73"/>
      <c r="AC12" s="64">
        <f>AB12:AB12*200</f>
        <v>0</v>
      </c>
      <c r="AD12" s="73"/>
      <c r="AE12" s="64">
        <f>AD12:AD12*200</f>
        <v>0</v>
      </c>
      <c r="AF12" s="73"/>
      <c r="AG12" s="64">
        <f>AF12:AF12*200</f>
        <v>0</v>
      </c>
      <c r="AH12" s="73"/>
      <c r="AI12" s="64">
        <f>AH12:AH12*200</f>
        <v>0</v>
      </c>
      <c r="AJ12" s="73"/>
      <c r="AK12" s="64">
        <f>AJ12:AJ12*200</f>
        <v>0</v>
      </c>
      <c r="AL12" s="73"/>
      <c r="AM12" s="64">
        <f>AL12:AL12*200</f>
        <v>0</v>
      </c>
      <c r="AN12" s="73"/>
      <c r="AO12" s="64">
        <f>AN12:AN12*200</f>
        <v>0</v>
      </c>
    </row>
    <row r="13" spans="1:41" x14ac:dyDescent="0.2">
      <c r="A13" s="62" t="s">
        <v>6</v>
      </c>
      <c r="B13" s="72"/>
      <c r="C13" s="64">
        <f>B13*60</f>
        <v>0</v>
      </c>
      <c r="D13" s="73"/>
      <c r="E13" s="64">
        <f>D13*60</f>
        <v>0</v>
      </c>
      <c r="F13" s="73"/>
      <c r="G13" s="64">
        <f>F13*60</f>
        <v>0</v>
      </c>
      <c r="H13" s="73"/>
      <c r="I13" s="64">
        <f>H13*60</f>
        <v>0</v>
      </c>
      <c r="J13" s="73"/>
      <c r="K13" s="64">
        <f>J13*60</f>
        <v>0</v>
      </c>
      <c r="L13" s="73"/>
      <c r="M13" s="64">
        <f>L13*60</f>
        <v>0</v>
      </c>
      <c r="N13" s="73"/>
      <c r="O13" s="64">
        <f>N13*60</f>
        <v>0</v>
      </c>
      <c r="P13" s="73"/>
      <c r="Q13" s="64">
        <f>P13*60</f>
        <v>0</v>
      </c>
      <c r="R13" s="73"/>
      <c r="S13" s="64">
        <f>R13*60</f>
        <v>0</v>
      </c>
      <c r="T13" s="73"/>
      <c r="U13" s="64">
        <f>T13*60</f>
        <v>0</v>
      </c>
      <c r="V13" s="73"/>
      <c r="W13" s="64">
        <f>V13*60</f>
        <v>0</v>
      </c>
      <c r="X13" s="73"/>
      <c r="Y13" s="64">
        <f>X13*60</f>
        <v>0</v>
      </c>
      <c r="Z13" s="73"/>
      <c r="AA13" s="64">
        <f>Z13*60</f>
        <v>0</v>
      </c>
      <c r="AB13" s="73"/>
      <c r="AC13" s="64">
        <f>AB13*60</f>
        <v>0</v>
      </c>
      <c r="AD13" s="73"/>
      <c r="AE13" s="64">
        <f>AD13*60</f>
        <v>0</v>
      </c>
      <c r="AF13" s="73"/>
      <c r="AG13" s="64">
        <f>AF13*60</f>
        <v>0</v>
      </c>
      <c r="AH13" s="73"/>
      <c r="AI13" s="64">
        <f>AH13*60</f>
        <v>0</v>
      </c>
      <c r="AJ13" s="73"/>
      <c r="AK13" s="64">
        <f>AJ13*60</f>
        <v>0</v>
      </c>
      <c r="AL13" s="73"/>
      <c r="AM13" s="64">
        <f>AL13*60</f>
        <v>0</v>
      </c>
      <c r="AN13" s="73"/>
      <c r="AO13" s="64">
        <f>AN13*60</f>
        <v>0</v>
      </c>
    </row>
    <row r="14" spans="1:41" x14ac:dyDescent="0.2">
      <c r="A14" s="62" t="s">
        <v>7</v>
      </c>
      <c r="B14" s="72"/>
      <c r="C14" s="64">
        <f>B14*50</f>
        <v>0</v>
      </c>
      <c r="D14" s="73"/>
      <c r="E14" s="64">
        <f>D14*100</f>
        <v>0</v>
      </c>
      <c r="F14" s="73"/>
      <c r="G14" s="64">
        <f>F14*100</f>
        <v>0</v>
      </c>
      <c r="H14" s="73"/>
      <c r="I14" s="64">
        <f>H14*100</f>
        <v>0</v>
      </c>
      <c r="J14" s="73"/>
      <c r="K14" s="64">
        <f>J14*100</f>
        <v>0</v>
      </c>
      <c r="L14" s="73"/>
      <c r="M14" s="64">
        <f>L14*100</f>
        <v>0</v>
      </c>
      <c r="N14" s="73"/>
      <c r="O14" s="64">
        <f>N14*100</f>
        <v>0</v>
      </c>
      <c r="P14" s="73"/>
      <c r="Q14" s="64">
        <f>P14*100</f>
        <v>0</v>
      </c>
      <c r="R14" s="73"/>
      <c r="S14" s="64">
        <f>R14*100</f>
        <v>0</v>
      </c>
      <c r="T14" s="73"/>
      <c r="U14" s="64">
        <f>T14*100</f>
        <v>0</v>
      </c>
      <c r="V14" s="73"/>
      <c r="W14" s="64">
        <f>V14*100</f>
        <v>0</v>
      </c>
      <c r="X14" s="73"/>
      <c r="Y14" s="64">
        <f>X14*100</f>
        <v>0</v>
      </c>
      <c r="Z14" s="73"/>
      <c r="AA14" s="64">
        <f>Z14*100</f>
        <v>0</v>
      </c>
      <c r="AB14" s="73"/>
      <c r="AC14" s="64">
        <f>AB14*100</f>
        <v>0</v>
      </c>
      <c r="AD14" s="73"/>
      <c r="AE14" s="64">
        <f>AD14*100</f>
        <v>0</v>
      </c>
      <c r="AF14" s="73"/>
      <c r="AG14" s="64">
        <f>AF14*100</f>
        <v>0</v>
      </c>
      <c r="AH14" s="73"/>
      <c r="AI14" s="64">
        <f>AH14*100</f>
        <v>0</v>
      </c>
      <c r="AJ14" s="73"/>
      <c r="AK14" s="64">
        <f>AJ14*100</f>
        <v>0</v>
      </c>
      <c r="AL14" s="73"/>
      <c r="AM14" s="64">
        <f>AL14*100</f>
        <v>0</v>
      </c>
      <c r="AN14" s="73"/>
      <c r="AO14" s="64">
        <f>AN14*100</f>
        <v>0</v>
      </c>
    </row>
    <row r="15" spans="1:41" x14ac:dyDescent="0.2">
      <c r="A15" s="62" t="s">
        <v>8</v>
      </c>
      <c r="B15" s="72"/>
      <c r="C15" s="64">
        <f>B15*600</f>
        <v>0</v>
      </c>
      <c r="D15" s="73"/>
      <c r="E15" s="64">
        <f>D15*600</f>
        <v>0</v>
      </c>
      <c r="F15" s="73"/>
      <c r="G15" s="64">
        <f>F15*600</f>
        <v>0</v>
      </c>
      <c r="H15" s="73"/>
      <c r="I15" s="64">
        <f>H15*600</f>
        <v>0</v>
      </c>
      <c r="J15" s="73"/>
      <c r="K15" s="64">
        <f>J15*600</f>
        <v>0</v>
      </c>
      <c r="L15" s="73"/>
      <c r="M15" s="64">
        <f>L15*600</f>
        <v>0</v>
      </c>
      <c r="N15" s="73"/>
      <c r="O15" s="64">
        <f>N15*600</f>
        <v>0</v>
      </c>
      <c r="P15" s="73"/>
      <c r="Q15" s="64">
        <f>P15*600</f>
        <v>0</v>
      </c>
      <c r="R15" s="73"/>
      <c r="S15" s="64">
        <f>R15*600</f>
        <v>0</v>
      </c>
      <c r="T15" s="73"/>
      <c r="U15" s="64">
        <f>T15*600</f>
        <v>0</v>
      </c>
      <c r="V15" s="73"/>
      <c r="W15" s="64">
        <f>V15*600</f>
        <v>0</v>
      </c>
      <c r="X15" s="73"/>
      <c r="Y15" s="64">
        <f>X15*600</f>
        <v>0</v>
      </c>
      <c r="Z15" s="73"/>
      <c r="AA15" s="64">
        <f>Z15*600</f>
        <v>0</v>
      </c>
      <c r="AB15" s="73"/>
      <c r="AC15" s="64">
        <f>AB15*600</f>
        <v>0</v>
      </c>
      <c r="AD15" s="73"/>
      <c r="AE15" s="64">
        <f>AD15*600</f>
        <v>0</v>
      </c>
      <c r="AF15" s="73"/>
      <c r="AG15" s="64">
        <f>AF15*600</f>
        <v>0</v>
      </c>
      <c r="AH15" s="73"/>
      <c r="AI15" s="64">
        <f>AH15*600</f>
        <v>0</v>
      </c>
      <c r="AJ15" s="73"/>
      <c r="AK15" s="64">
        <f>AJ15*600</f>
        <v>0</v>
      </c>
      <c r="AL15" s="73"/>
      <c r="AM15" s="64">
        <f>AL15*600</f>
        <v>0</v>
      </c>
      <c r="AN15" s="73"/>
      <c r="AO15" s="64">
        <f>AN15*600</f>
        <v>0</v>
      </c>
    </row>
    <row r="16" spans="1:41" x14ac:dyDescent="0.2">
      <c r="A16" s="62" t="s">
        <v>9</v>
      </c>
      <c r="B16" s="72"/>
      <c r="C16" s="64">
        <f>B16*70</f>
        <v>0</v>
      </c>
      <c r="D16" s="73"/>
      <c r="E16" s="64">
        <f>D16*70</f>
        <v>0</v>
      </c>
      <c r="F16" s="73"/>
      <c r="G16" s="64">
        <f>F16*70</f>
        <v>0</v>
      </c>
      <c r="H16" s="73"/>
      <c r="I16" s="64">
        <f>H16*70</f>
        <v>0</v>
      </c>
      <c r="J16" s="73"/>
      <c r="K16" s="64">
        <f>J16*70</f>
        <v>0</v>
      </c>
      <c r="L16" s="73"/>
      <c r="M16" s="64">
        <f>L16*70</f>
        <v>0</v>
      </c>
      <c r="N16" s="73"/>
      <c r="O16" s="64">
        <f>N16*70</f>
        <v>0</v>
      </c>
      <c r="P16" s="73"/>
      <c r="Q16" s="64">
        <f>P16*70</f>
        <v>0</v>
      </c>
      <c r="R16" s="73"/>
      <c r="S16" s="64">
        <f>R16*70</f>
        <v>0</v>
      </c>
      <c r="T16" s="73"/>
      <c r="U16" s="64">
        <f>T16*70</f>
        <v>0</v>
      </c>
      <c r="V16" s="73"/>
      <c r="W16" s="64">
        <f>V16*70</f>
        <v>0</v>
      </c>
      <c r="X16" s="73"/>
      <c r="Y16" s="64">
        <f>X16*70</f>
        <v>0</v>
      </c>
      <c r="Z16" s="73"/>
      <c r="AA16" s="64">
        <f>Z16*70</f>
        <v>0</v>
      </c>
      <c r="AB16" s="73"/>
      <c r="AC16" s="64">
        <f>AB16*70</f>
        <v>0</v>
      </c>
      <c r="AD16" s="73"/>
      <c r="AE16" s="64">
        <f>AD16*70</f>
        <v>0</v>
      </c>
      <c r="AF16" s="73"/>
      <c r="AG16" s="64">
        <f>AF16*70</f>
        <v>0</v>
      </c>
      <c r="AH16" s="73"/>
      <c r="AI16" s="64">
        <f>AH16*70</f>
        <v>0</v>
      </c>
      <c r="AJ16" s="73"/>
      <c r="AK16" s="64">
        <f>AJ16*70</f>
        <v>0</v>
      </c>
      <c r="AL16" s="73"/>
      <c r="AM16" s="64">
        <f>AL16*70</f>
        <v>0</v>
      </c>
      <c r="AN16" s="73"/>
      <c r="AO16" s="64">
        <f>AN16*70</f>
        <v>0</v>
      </c>
    </row>
    <row r="17" spans="1:41" x14ac:dyDescent="0.2">
      <c r="A17" s="62" t="s">
        <v>10</v>
      </c>
      <c r="B17" s="72"/>
      <c r="C17" s="64">
        <f>B17*50</f>
        <v>0</v>
      </c>
      <c r="D17" s="73"/>
      <c r="E17" s="64">
        <f>D17*50</f>
        <v>0</v>
      </c>
      <c r="F17" s="73"/>
      <c r="G17" s="64">
        <f>F17*50</f>
        <v>0</v>
      </c>
      <c r="H17" s="73"/>
      <c r="I17" s="64">
        <f>H17*50</f>
        <v>0</v>
      </c>
      <c r="J17" s="73"/>
      <c r="K17" s="64">
        <f>J17*50</f>
        <v>0</v>
      </c>
      <c r="L17" s="73"/>
      <c r="M17" s="64">
        <f>L17*50</f>
        <v>0</v>
      </c>
      <c r="N17" s="73"/>
      <c r="O17" s="64">
        <f>N17*50</f>
        <v>0</v>
      </c>
      <c r="P17" s="73"/>
      <c r="Q17" s="64">
        <f>P17*50</f>
        <v>0</v>
      </c>
      <c r="R17" s="73"/>
      <c r="S17" s="64">
        <f>R17*50</f>
        <v>0</v>
      </c>
      <c r="T17" s="73"/>
      <c r="U17" s="64">
        <f>T17*50</f>
        <v>0</v>
      </c>
      <c r="V17" s="73"/>
      <c r="W17" s="64">
        <f>V17*50</f>
        <v>0</v>
      </c>
      <c r="X17" s="73"/>
      <c r="Y17" s="64">
        <f>X17*50</f>
        <v>0</v>
      </c>
      <c r="Z17" s="73"/>
      <c r="AA17" s="64">
        <f>Z17*50</f>
        <v>0</v>
      </c>
      <c r="AB17" s="73"/>
      <c r="AC17" s="64">
        <f>AB17*50</f>
        <v>0</v>
      </c>
      <c r="AD17" s="73"/>
      <c r="AE17" s="64">
        <f>AD17*50</f>
        <v>0</v>
      </c>
      <c r="AF17" s="73"/>
      <c r="AG17" s="64">
        <f>AF17*50</f>
        <v>0</v>
      </c>
      <c r="AH17" s="73"/>
      <c r="AI17" s="64">
        <f>AH17*50</f>
        <v>0</v>
      </c>
      <c r="AJ17" s="73"/>
      <c r="AK17" s="64">
        <f>AJ17*50</f>
        <v>0</v>
      </c>
      <c r="AL17" s="73"/>
      <c r="AM17" s="64">
        <f>AL17*50</f>
        <v>0</v>
      </c>
      <c r="AN17" s="73"/>
      <c r="AO17" s="64">
        <f>AN17*50</f>
        <v>0</v>
      </c>
    </row>
    <row r="18" spans="1:41" x14ac:dyDescent="0.2">
      <c r="A18" s="62" t="s">
        <v>19</v>
      </c>
      <c r="B18" s="72"/>
      <c r="C18" s="64"/>
      <c r="D18" s="73"/>
      <c r="E18" s="64">
        <f>D18*200</f>
        <v>0</v>
      </c>
      <c r="F18" s="73"/>
      <c r="G18" s="64">
        <f>F18*200</f>
        <v>0</v>
      </c>
      <c r="H18" s="73"/>
      <c r="I18" s="64">
        <f>H18*200</f>
        <v>0</v>
      </c>
      <c r="J18" s="73"/>
      <c r="K18" s="64">
        <f>J18*200</f>
        <v>0</v>
      </c>
      <c r="L18" s="73"/>
      <c r="M18" s="64">
        <f>L18*200</f>
        <v>0</v>
      </c>
      <c r="N18" s="73"/>
      <c r="O18" s="64">
        <f>N18*200</f>
        <v>0</v>
      </c>
      <c r="P18" s="73"/>
      <c r="Q18" s="64">
        <f>P18*200</f>
        <v>0</v>
      </c>
      <c r="R18" s="73"/>
      <c r="S18" s="64">
        <f>R18*200</f>
        <v>0</v>
      </c>
      <c r="T18" s="73"/>
      <c r="U18" s="64">
        <f>T18*200</f>
        <v>0</v>
      </c>
      <c r="V18" s="73"/>
      <c r="W18" s="64">
        <f>V18*200</f>
        <v>0</v>
      </c>
      <c r="X18" s="73"/>
      <c r="Y18" s="64">
        <f>X18*200</f>
        <v>0</v>
      </c>
      <c r="Z18" s="73"/>
      <c r="AA18" s="64">
        <f>Z18*200</f>
        <v>0</v>
      </c>
      <c r="AB18" s="73"/>
      <c r="AC18" s="64">
        <f>AB18*200</f>
        <v>0</v>
      </c>
      <c r="AD18" s="73"/>
      <c r="AE18" s="64">
        <f>AD18*200</f>
        <v>0</v>
      </c>
      <c r="AF18" s="73"/>
      <c r="AG18" s="64">
        <f>AF18*200</f>
        <v>0</v>
      </c>
      <c r="AH18" s="73"/>
      <c r="AI18" s="64">
        <f>AH18*200</f>
        <v>0</v>
      </c>
      <c r="AJ18" s="73"/>
      <c r="AK18" s="64">
        <f>AJ18*200</f>
        <v>0</v>
      </c>
      <c r="AL18" s="73"/>
      <c r="AM18" s="64">
        <f>AL18*200</f>
        <v>0</v>
      </c>
      <c r="AN18" s="73"/>
      <c r="AO18" s="64">
        <f>AN18*200</f>
        <v>0</v>
      </c>
    </row>
    <row r="19" spans="1:41" x14ac:dyDescent="0.2">
      <c r="A19" s="62" t="s">
        <v>20</v>
      </c>
      <c r="B19" s="72"/>
      <c r="C19" s="64"/>
      <c r="D19" s="73"/>
      <c r="E19" s="64">
        <f>D19*300</f>
        <v>0</v>
      </c>
      <c r="F19" s="73"/>
      <c r="G19" s="64">
        <f>F19*300</f>
        <v>0</v>
      </c>
      <c r="H19" s="73"/>
      <c r="I19" s="64">
        <f>H19*300</f>
        <v>0</v>
      </c>
      <c r="J19" s="73"/>
      <c r="K19" s="64">
        <f>J19*300</f>
        <v>0</v>
      </c>
      <c r="L19" s="73"/>
      <c r="M19" s="64">
        <f t="shared" ref="M19" si="0">L19*300</f>
        <v>0</v>
      </c>
      <c r="N19" s="73"/>
      <c r="O19" s="64">
        <f>N19*300</f>
        <v>0</v>
      </c>
      <c r="P19" s="73"/>
      <c r="Q19" s="64">
        <f>P19*300</f>
        <v>0</v>
      </c>
      <c r="R19" s="73"/>
      <c r="S19" s="64">
        <f>R19*300</f>
        <v>0</v>
      </c>
      <c r="T19" s="73"/>
      <c r="U19" s="64">
        <f>T19*300</f>
        <v>0</v>
      </c>
      <c r="V19" s="73"/>
      <c r="W19" s="64">
        <f>V19*300</f>
        <v>0</v>
      </c>
      <c r="X19" s="73"/>
      <c r="Y19" s="64">
        <f>X19*300</f>
        <v>0</v>
      </c>
      <c r="Z19" s="73"/>
      <c r="AA19" s="64">
        <f>Z19*300</f>
        <v>0</v>
      </c>
      <c r="AB19" s="73"/>
      <c r="AC19" s="64">
        <f>AB19*300</f>
        <v>0</v>
      </c>
      <c r="AD19" s="73"/>
      <c r="AE19" s="64">
        <f>AD19*300</f>
        <v>0</v>
      </c>
      <c r="AF19" s="73"/>
      <c r="AG19" s="64">
        <f>AF19*300</f>
        <v>0</v>
      </c>
      <c r="AH19" s="73"/>
      <c r="AI19" s="64">
        <f>AH19*300</f>
        <v>0</v>
      </c>
      <c r="AJ19" s="73"/>
      <c r="AK19" s="64">
        <f>AJ19*300</f>
        <v>0</v>
      </c>
      <c r="AL19" s="73"/>
      <c r="AM19" s="64">
        <f>AL19*300</f>
        <v>0</v>
      </c>
      <c r="AN19" s="73"/>
      <c r="AO19" s="64">
        <f t="shared" ref="AO19" si="1">AN19*300</f>
        <v>0</v>
      </c>
    </row>
    <row r="20" spans="1:41" x14ac:dyDescent="0.2">
      <c r="A20" s="62" t="s">
        <v>175</v>
      </c>
      <c r="B20" s="72"/>
      <c r="C20" s="74"/>
      <c r="D20" s="73"/>
      <c r="E20" s="64"/>
      <c r="F20" s="73"/>
      <c r="G20" s="64"/>
      <c r="H20" s="73"/>
      <c r="I20" s="64"/>
      <c r="J20" s="73"/>
      <c r="K20" s="64"/>
      <c r="L20" s="73"/>
      <c r="M20" s="64"/>
      <c r="N20" s="73"/>
      <c r="O20" s="64"/>
      <c r="P20" s="73"/>
      <c r="Q20" s="64"/>
      <c r="R20" s="73"/>
      <c r="S20" s="64"/>
      <c r="T20" s="73"/>
      <c r="U20" s="64"/>
      <c r="V20" s="73"/>
      <c r="W20" s="64"/>
      <c r="X20" s="73"/>
      <c r="Y20" s="64"/>
      <c r="Z20" s="73"/>
      <c r="AA20" s="64"/>
      <c r="AB20" s="73"/>
      <c r="AC20" s="64"/>
      <c r="AD20" s="73"/>
      <c r="AE20" s="64"/>
      <c r="AF20" s="73"/>
      <c r="AG20" s="64"/>
      <c r="AH20" s="73"/>
      <c r="AI20" s="64"/>
      <c r="AJ20" s="73"/>
      <c r="AK20" s="64"/>
      <c r="AL20" s="73"/>
      <c r="AM20" s="64"/>
      <c r="AN20" s="73"/>
      <c r="AO20" s="64"/>
    </row>
    <row r="21" spans="1:41" x14ac:dyDescent="0.2">
      <c r="A21" s="62" t="s">
        <v>24</v>
      </c>
      <c r="B21" s="72"/>
      <c r="C21" s="64"/>
      <c r="D21" s="73"/>
      <c r="E21" s="75"/>
      <c r="F21" s="73"/>
      <c r="G21" s="75"/>
      <c r="H21" s="73"/>
      <c r="I21" s="75"/>
      <c r="J21" s="73"/>
      <c r="K21" s="75"/>
      <c r="L21" s="73"/>
      <c r="M21" s="75"/>
      <c r="N21" s="73"/>
      <c r="O21" s="75"/>
      <c r="P21" s="73"/>
      <c r="Q21" s="75"/>
      <c r="R21" s="73"/>
      <c r="S21" s="75"/>
      <c r="T21" s="73"/>
      <c r="U21" s="75"/>
      <c r="V21" s="73"/>
      <c r="W21" s="75"/>
      <c r="X21" s="73"/>
      <c r="Y21" s="75"/>
      <c r="Z21" s="73"/>
      <c r="AA21" s="75"/>
      <c r="AB21" s="73"/>
      <c r="AC21" s="75"/>
      <c r="AD21" s="73"/>
      <c r="AE21" s="75"/>
      <c r="AF21" s="73"/>
      <c r="AG21" s="75"/>
      <c r="AH21" s="73"/>
      <c r="AI21" s="75"/>
      <c r="AJ21" s="73"/>
      <c r="AK21" s="75"/>
      <c r="AL21" s="73"/>
      <c r="AM21" s="75"/>
      <c r="AN21" s="73"/>
      <c r="AO21" s="75"/>
    </row>
    <row r="22" spans="1:41" x14ac:dyDescent="0.2">
      <c r="A22" s="62" t="s">
        <v>21</v>
      </c>
      <c r="B22" s="72"/>
      <c r="C22" s="64"/>
      <c r="D22" s="73"/>
      <c r="E22" s="75"/>
      <c r="F22" s="73"/>
      <c r="G22" s="75"/>
      <c r="H22" s="73"/>
      <c r="I22" s="75"/>
      <c r="J22" s="73"/>
      <c r="K22" s="75"/>
      <c r="L22" s="73"/>
      <c r="M22" s="75"/>
      <c r="N22" s="73"/>
      <c r="O22" s="75"/>
      <c r="P22" s="73"/>
      <c r="Q22" s="75"/>
      <c r="R22" s="73"/>
      <c r="S22" s="75"/>
      <c r="T22" s="73"/>
      <c r="U22" s="75"/>
      <c r="V22" s="73"/>
      <c r="W22" s="75"/>
      <c r="X22" s="73"/>
      <c r="Y22" s="75"/>
      <c r="Z22" s="73"/>
      <c r="AA22" s="75"/>
      <c r="AB22" s="73"/>
      <c r="AC22" s="75"/>
      <c r="AD22" s="73"/>
      <c r="AE22" s="75"/>
      <c r="AF22" s="73"/>
      <c r="AG22" s="75"/>
      <c r="AH22" s="73"/>
      <c r="AI22" s="75"/>
      <c r="AJ22" s="73"/>
      <c r="AK22" s="75"/>
      <c r="AL22" s="73"/>
      <c r="AM22" s="75"/>
      <c r="AN22" s="72"/>
      <c r="AO22" s="75"/>
    </row>
    <row r="23" spans="1:41" x14ac:dyDescent="0.2">
      <c r="A23" s="62" t="s">
        <v>37</v>
      </c>
      <c r="B23" s="72"/>
      <c r="C23" s="64">
        <f>B23*100</f>
        <v>0</v>
      </c>
      <c r="D23" s="65"/>
      <c r="E23" s="64">
        <f>D23*100</f>
        <v>0</v>
      </c>
      <c r="F23" s="65"/>
      <c r="G23" s="64">
        <f>F23*100</f>
        <v>0</v>
      </c>
      <c r="H23" s="65"/>
      <c r="I23" s="64">
        <f>H23*100</f>
        <v>0</v>
      </c>
      <c r="J23" s="65"/>
      <c r="K23" s="64">
        <f>J23*100</f>
        <v>0</v>
      </c>
      <c r="L23" s="65"/>
      <c r="M23" s="64">
        <f>L23*100</f>
        <v>0</v>
      </c>
      <c r="N23" s="65"/>
      <c r="O23" s="64">
        <f>N23*100</f>
        <v>0</v>
      </c>
      <c r="P23" s="65"/>
      <c r="Q23" s="64">
        <f>P23*100</f>
        <v>0</v>
      </c>
      <c r="R23" s="65"/>
      <c r="S23" s="64">
        <f>R23*100</f>
        <v>0</v>
      </c>
      <c r="T23" s="65"/>
      <c r="U23" s="64">
        <f>T23*100</f>
        <v>0</v>
      </c>
      <c r="V23" s="65"/>
      <c r="W23" s="64">
        <f>V23*100</f>
        <v>0</v>
      </c>
      <c r="X23" s="65"/>
      <c r="Y23" s="64">
        <f>X23*100</f>
        <v>0</v>
      </c>
      <c r="Z23" s="65"/>
      <c r="AA23" s="64">
        <f>Z23*100</f>
        <v>0</v>
      </c>
      <c r="AB23" s="65"/>
      <c r="AC23" s="64">
        <f>AB23*100</f>
        <v>0</v>
      </c>
      <c r="AD23" s="65"/>
      <c r="AE23" s="64">
        <f>AD23*100</f>
        <v>0</v>
      </c>
      <c r="AF23" s="65"/>
      <c r="AG23" s="64">
        <f>AF23*100</f>
        <v>0</v>
      </c>
      <c r="AH23" s="65"/>
      <c r="AI23" s="64">
        <f>AH23*100</f>
        <v>0</v>
      </c>
      <c r="AJ23" s="65"/>
      <c r="AK23" s="64">
        <f>AJ23*100</f>
        <v>0</v>
      </c>
      <c r="AL23" s="65"/>
      <c r="AM23" s="64">
        <f>AL23*100</f>
        <v>0</v>
      </c>
      <c r="AN23" s="65"/>
      <c r="AO23" s="64">
        <f>AN23*100</f>
        <v>0</v>
      </c>
    </row>
    <row r="24" spans="1:41" x14ac:dyDescent="0.2">
      <c r="A24" s="62" t="s">
        <v>25</v>
      </c>
      <c r="B24" s="72"/>
      <c r="C24" s="64">
        <f>B24*0.2</f>
        <v>0</v>
      </c>
      <c r="D24" s="73"/>
      <c r="E24" s="64">
        <f>D24*0.5</f>
        <v>0</v>
      </c>
      <c r="F24" s="73"/>
      <c r="G24" s="64">
        <f t="shared" ref="G24" si="2">F24*0.7</f>
        <v>0</v>
      </c>
      <c r="H24" s="73"/>
      <c r="I24" s="64">
        <f t="shared" ref="I24" si="3">H24*0.7</f>
        <v>0</v>
      </c>
      <c r="J24" s="73"/>
      <c r="K24" s="64">
        <f t="shared" ref="K24" si="4">J24*0.7</f>
        <v>0</v>
      </c>
      <c r="L24" s="73"/>
      <c r="M24" s="64">
        <f t="shared" ref="M24" si="5">L24*0.7</f>
        <v>0</v>
      </c>
      <c r="N24" s="73"/>
      <c r="O24" s="75">
        <f>N24*0.6</f>
        <v>0</v>
      </c>
      <c r="P24" s="73"/>
      <c r="Q24" s="64">
        <f t="shared" ref="Q24:AC24" si="6">P24*0.7</f>
        <v>0</v>
      </c>
      <c r="R24" s="73"/>
      <c r="S24" s="64">
        <f t="shared" si="6"/>
        <v>0</v>
      </c>
      <c r="T24" s="73"/>
      <c r="U24" s="64">
        <f t="shared" si="6"/>
        <v>0</v>
      </c>
      <c r="V24" s="73"/>
      <c r="W24" s="64">
        <f t="shared" si="6"/>
        <v>0</v>
      </c>
      <c r="X24" s="73"/>
      <c r="Y24" s="64">
        <f>X24*0.6</f>
        <v>0</v>
      </c>
      <c r="Z24" s="73"/>
      <c r="AA24" s="64">
        <f t="shared" si="6"/>
        <v>0</v>
      </c>
      <c r="AB24" s="73"/>
      <c r="AC24" s="64">
        <f t="shared" si="6"/>
        <v>0</v>
      </c>
      <c r="AD24" s="73"/>
      <c r="AE24" s="64">
        <f t="shared" ref="AE24" si="7">AD24*0.7</f>
        <v>0</v>
      </c>
      <c r="AF24" s="73"/>
      <c r="AG24" s="64">
        <f t="shared" ref="AG24" si="8">AF24*0.7</f>
        <v>0</v>
      </c>
      <c r="AH24" s="73"/>
      <c r="AI24" s="64">
        <f t="shared" ref="AI24" si="9">AH24*0.7</f>
        <v>0</v>
      </c>
      <c r="AJ24" s="73"/>
      <c r="AK24" s="64">
        <f>AJ24*0.7</f>
        <v>0</v>
      </c>
      <c r="AL24" s="73"/>
      <c r="AM24" s="64">
        <f>AL24*0.7</f>
        <v>0</v>
      </c>
      <c r="AN24" s="73"/>
      <c r="AO24" s="64">
        <f>AN24*0.8</f>
        <v>0</v>
      </c>
    </row>
    <row r="25" spans="1:41" x14ac:dyDescent="0.2">
      <c r="A25" s="62" t="s">
        <v>26</v>
      </c>
      <c r="B25" s="72"/>
      <c r="C25" s="64">
        <f>B25*2000</f>
        <v>0</v>
      </c>
      <c r="D25" s="73"/>
      <c r="E25" s="75"/>
      <c r="F25" s="73"/>
      <c r="G25" s="75"/>
      <c r="H25" s="73"/>
      <c r="I25" s="75"/>
      <c r="J25" s="73"/>
      <c r="K25" s="75"/>
      <c r="L25" s="73"/>
      <c r="M25" s="75"/>
      <c r="N25" s="73"/>
      <c r="O25" s="75"/>
      <c r="P25" s="73"/>
      <c r="Q25" s="75"/>
      <c r="R25" s="73"/>
      <c r="S25" s="75"/>
      <c r="T25" s="73"/>
      <c r="U25" s="75"/>
      <c r="V25" s="73"/>
      <c r="W25" s="75"/>
      <c r="X25" s="73"/>
      <c r="Y25" s="75"/>
      <c r="Z25" s="73"/>
      <c r="AA25" s="75"/>
      <c r="AB25" s="73"/>
      <c r="AC25" s="75"/>
      <c r="AD25" s="73"/>
      <c r="AE25" s="75"/>
      <c r="AF25" s="73"/>
      <c r="AG25" s="75"/>
      <c r="AH25" s="73"/>
      <c r="AI25" s="75"/>
      <c r="AJ25" s="73"/>
      <c r="AK25" s="75"/>
      <c r="AL25" s="73"/>
      <c r="AM25" s="75"/>
      <c r="AN25" s="72"/>
      <c r="AO25" s="75"/>
    </row>
    <row r="26" spans="1:41" x14ac:dyDescent="0.2">
      <c r="A26" s="62" t="s">
        <v>85</v>
      </c>
      <c r="B26" s="72"/>
      <c r="C26" s="64"/>
      <c r="D26" s="73"/>
      <c r="E26" s="75"/>
      <c r="F26" s="73"/>
      <c r="G26" s="75"/>
      <c r="H26" s="73"/>
      <c r="I26" s="75"/>
      <c r="J26" s="73"/>
      <c r="K26" s="75"/>
      <c r="L26" s="73"/>
      <c r="M26" s="75"/>
      <c r="N26" s="73"/>
      <c r="O26" s="75"/>
      <c r="P26" s="73"/>
      <c r="Q26" s="75"/>
      <c r="R26" s="73"/>
      <c r="S26" s="75"/>
      <c r="T26" s="73"/>
      <c r="U26" s="75"/>
      <c r="V26" s="73"/>
      <c r="W26" s="75"/>
      <c r="X26" s="73"/>
      <c r="Y26" s="72"/>
      <c r="Z26" s="73"/>
      <c r="AA26" s="75"/>
      <c r="AB26" s="73"/>
      <c r="AC26" s="75"/>
      <c r="AD26" s="73"/>
      <c r="AE26" s="75"/>
      <c r="AF26" s="73"/>
      <c r="AG26" s="72"/>
      <c r="AH26" s="73"/>
      <c r="AI26" s="75"/>
      <c r="AJ26" s="73"/>
      <c r="AK26" s="75"/>
      <c r="AL26" s="73"/>
      <c r="AM26" s="75"/>
      <c r="AN26" s="72"/>
      <c r="AO26" s="75"/>
    </row>
    <row r="27" spans="1:41" x14ac:dyDescent="0.2">
      <c r="A27" s="62" t="s">
        <v>163</v>
      </c>
      <c r="B27" s="72"/>
      <c r="C27" s="64">
        <v>20000</v>
      </c>
      <c r="D27" s="73"/>
      <c r="E27" s="75"/>
      <c r="F27" s="73"/>
      <c r="G27" s="75"/>
      <c r="H27" s="73"/>
      <c r="I27" s="75"/>
      <c r="J27" s="73"/>
      <c r="K27" s="75"/>
      <c r="L27" s="73"/>
      <c r="M27" s="75"/>
      <c r="N27" s="73"/>
      <c r="O27" s="75"/>
      <c r="P27" s="73"/>
      <c r="Q27" s="75"/>
      <c r="R27" s="73"/>
      <c r="S27" s="75"/>
      <c r="T27" s="73"/>
      <c r="U27" s="75"/>
      <c r="V27" s="73"/>
      <c r="W27" s="75"/>
      <c r="X27" s="73"/>
      <c r="Y27" s="72"/>
      <c r="Z27" s="73"/>
      <c r="AA27" s="75"/>
      <c r="AB27" s="73"/>
      <c r="AC27" s="75"/>
      <c r="AD27" s="73"/>
      <c r="AE27" s="75"/>
      <c r="AF27" s="73"/>
      <c r="AG27" s="72"/>
      <c r="AH27" s="73"/>
      <c r="AI27" s="75"/>
      <c r="AJ27" s="73"/>
      <c r="AK27" s="75"/>
      <c r="AL27" s="73"/>
      <c r="AM27" s="75"/>
      <c r="AN27" s="72"/>
      <c r="AO27" s="75"/>
    </row>
    <row r="28" spans="1:41" x14ac:dyDescent="0.2">
      <c r="A28" s="62" t="s">
        <v>90</v>
      </c>
      <c r="B28" s="63"/>
      <c r="C28" s="64">
        <v>70550</v>
      </c>
      <c r="D28" s="73"/>
      <c r="E28" s="75"/>
      <c r="F28" s="73"/>
      <c r="G28" s="75"/>
      <c r="H28" s="73"/>
      <c r="I28" s="75"/>
      <c r="J28" s="73"/>
      <c r="K28" s="75"/>
      <c r="L28" s="73"/>
      <c r="M28" s="75"/>
      <c r="N28" s="73"/>
      <c r="O28" s="75"/>
      <c r="P28" s="73"/>
      <c r="Q28" s="75"/>
      <c r="R28" s="73"/>
      <c r="S28" s="75"/>
      <c r="T28" s="73"/>
      <c r="U28" s="75"/>
      <c r="V28" s="73"/>
      <c r="W28" s="75"/>
      <c r="X28" s="73"/>
      <c r="Y28" s="75"/>
      <c r="Z28" s="73"/>
      <c r="AA28" s="75"/>
      <c r="AB28" s="73"/>
      <c r="AC28" s="75"/>
      <c r="AD28" s="73"/>
      <c r="AE28" s="75"/>
      <c r="AF28" s="73"/>
      <c r="AG28" s="75"/>
      <c r="AH28" s="73"/>
      <c r="AI28" s="75"/>
      <c r="AJ28" s="73"/>
      <c r="AK28" s="75"/>
      <c r="AL28" s="73"/>
      <c r="AM28" s="75"/>
      <c r="AN28" s="72"/>
      <c r="AO28" s="75"/>
    </row>
    <row r="29" spans="1:41" ht="13.5" thickBot="1" x14ac:dyDescent="0.25">
      <c r="A29" s="76"/>
      <c r="B29" s="77"/>
      <c r="C29" s="78"/>
      <c r="D29" s="79"/>
      <c r="E29" s="80"/>
      <c r="F29" s="79"/>
      <c r="G29" s="80"/>
      <c r="H29" s="79"/>
      <c r="I29" s="80"/>
      <c r="J29" s="79"/>
      <c r="K29" s="80"/>
      <c r="L29" s="79"/>
      <c r="M29" s="80"/>
      <c r="N29" s="79"/>
      <c r="O29" s="80"/>
      <c r="P29" s="79"/>
      <c r="Q29" s="80"/>
      <c r="R29" s="79"/>
      <c r="S29" s="80"/>
      <c r="T29" s="79"/>
      <c r="U29" s="80"/>
      <c r="V29" s="79"/>
      <c r="W29" s="80"/>
      <c r="X29" s="79"/>
      <c r="Y29" s="80"/>
      <c r="Z29" s="79"/>
      <c r="AA29" s="80"/>
      <c r="AB29" s="79"/>
      <c r="AC29" s="80"/>
      <c r="AD29" s="79"/>
      <c r="AE29" s="80"/>
      <c r="AF29" s="79"/>
      <c r="AG29" s="80"/>
      <c r="AH29" s="79"/>
      <c r="AI29" s="80"/>
      <c r="AJ29" s="79"/>
      <c r="AK29" s="80"/>
      <c r="AL29" s="79"/>
      <c r="AM29" s="80"/>
      <c r="AN29" s="79"/>
      <c r="AO29" s="80"/>
    </row>
    <row r="30" spans="1:41" x14ac:dyDescent="0.2">
      <c r="C30" s="82">
        <f>SUM(C6:C29)</f>
        <v>90550</v>
      </c>
      <c r="E30" s="83">
        <f>SUM(E6:E29)</f>
        <v>0</v>
      </c>
      <c r="G30" s="84">
        <f>SUM(G6:G29)</f>
        <v>0</v>
      </c>
      <c r="I30" s="83">
        <f>SUM(I6:I29)</f>
        <v>0</v>
      </c>
      <c r="K30" s="83">
        <f>SUM(K6:K29)</f>
        <v>0</v>
      </c>
      <c r="M30" s="83">
        <f>SUM(M6:M29)</f>
        <v>0</v>
      </c>
      <c r="O30" s="83">
        <f>SUM(O6:O29)</f>
        <v>0</v>
      </c>
      <c r="Q30" s="84">
        <f>SUM(Q6:Q29)</f>
        <v>0</v>
      </c>
      <c r="S30" s="83">
        <f>SUM(S6:S29)</f>
        <v>0</v>
      </c>
      <c r="U30" s="83">
        <f>SUM(U6:U29)</f>
        <v>0</v>
      </c>
      <c r="W30" s="83">
        <f>SUM(W6:W29)</f>
        <v>0</v>
      </c>
      <c r="Y30" s="83">
        <f>SUM(Y6:Y29)</f>
        <v>0</v>
      </c>
      <c r="AA30" s="83">
        <f>SUM(AA6:AA29)</f>
        <v>0</v>
      </c>
      <c r="AC30" s="83">
        <f>SUM(AC6:AC29)</f>
        <v>0</v>
      </c>
      <c r="AE30" s="83">
        <f>SUM(AE6:AE29)</f>
        <v>0</v>
      </c>
      <c r="AG30" s="83">
        <f>SUM(AG6:AG29)</f>
        <v>0</v>
      </c>
      <c r="AI30" s="83">
        <f>SUM(AI6:AI29)</f>
        <v>0</v>
      </c>
      <c r="AK30" s="83">
        <f>SUM(AK6:AK29)</f>
        <v>0</v>
      </c>
      <c r="AM30" s="83">
        <f>SUM(AM6:AM29)</f>
        <v>0</v>
      </c>
      <c r="AO30" s="83">
        <f>SUM(AO6:AO29)</f>
        <v>0</v>
      </c>
    </row>
    <row r="31" spans="1:41" x14ac:dyDescent="0.2">
      <c r="E31" s="83"/>
      <c r="G31" s="83"/>
      <c r="I31" s="83"/>
      <c r="K31" s="83"/>
      <c r="M31" s="83"/>
      <c r="O31" s="83"/>
      <c r="Q31" s="83"/>
      <c r="S31" s="83"/>
      <c r="U31" s="83"/>
      <c r="W31" s="83"/>
      <c r="Y31" s="83"/>
      <c r="AA31" s="83"/>
      <c r="AC31" s="83"/>
      <c r="AE31" s="83"/>
      <c r="AG31" s="83"/>
      <c r="AI31" s="83"/>
      <c r="AK31" s="83"/>
      <c r="AM31" s="83"/>
      <c r="AO31" s="83"/>
    </row>
  </sheetData>
  <pageMargins left="0.25" right="0.25" top="0.25" bottom="0.25" header="0.3" footer="0.3"/>
  <pageSetup fitToWidth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4"/>
  <sheetViews>
    <sheetView zoomScale="80" zoomScaleNormal="80" workbookViewId="0">
      <pane xSplit="1" topLeftCell="D1" activePane="topRight" state="frozen"/>
      <selection pane="topRight" activeCell="E20" sqref="E20:K20"/>
    </sheetView>
  </sheetViews>
  <sheetFormatPr defaultRowHeight="15" x14ac:dyDescent="0.25"/>
  <cols>
    <col min="1" max="1" width="19.85546875" bestFit="1" customWidth="1"/>
    <col min="2" max="2" width="11" style="1" bestFit="1" customWidth="1"/>
    <col min="3" max="3" width="12.140625" style="1" bestFit="1" customWidth="1"/>
    <col min="4" max="4" width="13.85546875" style="1" bestFit="1" customWidth="1"/>
    <col min="5" max="5" width="12.140625" style="1" bestFit="1" customWidth="1"/>
    <col min="6" max="6" width="13.28515625" bestFit="1" customWidth="1"/>
    <col min="7" max="7" width="11.5703125" bestFit="1" customWidth="1"/>
    <col min="8" max="11" width="13.28515625" bestFit="1" customWidth="1"/>
  </cols>
  <sheetData>
    <row r="1" spans="1:11" s="12" customFormat="1" ht="15.75" x14ac:dyDescent="0.25">
      <c r="B1" s="13" t="s">
        <v>53</v>
      </c>
      <c r="C1" s="14"/>
      <c r="D1" s="13" t="s">
        <v>54</v>
      </c>
      <c r="E1" s="14"/>
      <c r="F1" s="15" t="s">
        <v>55</v>
      </c>
      <c r="G1" s="16"/>
      <c r="H1" s="15" t="s">
        <v>56</v>
      </c>
      <c r="I1" s="16"/>
      <c r="J1" s="15" t="s">
        <v>59</v>
      </c>
      <c r="K1" s="16"/>
    </row>
    <row r="2" spans="1:11" s="25" customFormat="1" x14ac:dyDescent="0.25">
      <c r="A2" s="25" t="s">
        <v>0</v>
      </c>
      <c r="B2" s="26"/>
      <c r="C2" s="27"/>
      <c r="D2" s="26"/>
      <c r="E2" s="27"/>
      <c r="F2" s="26"/>
      <c r="G2" s="27"/>
      <c r="H2" s="26"/>
      <c r="I2" s="27"/>
      <c r="J2" s="26"/>
      <c r="K2" s="27"/>
    </row>
    <row r="3" spans="1:11" x14ac:dyDescent="0.25">
      <c r="A3" t="s">
        <v>23</v>
      </c>
      <c r="B3" s="3"/>
      <c r="C3" s="4"/>
      <c r="D3" s="3"/>
      <c r="E3" s="4"/>
      <c r="F3" s="3"/>
      <c r="G3" s="4"/>
      <c r="H3" s="3"/>
      <c r="I3" s="4"/>
      <c r="J3" s="3"/>
      <c r="K3" s="4"/>
    </row>
    <row r="4" spans="1:11" s="25" customFormat="1" x14ac:dyDescent="0.25">
      <c r="A4" s="25" t="s">
        <v>1</v>
      </c>
      <c r="B4" s="26">
        <v>42860</v>
      </c>
      <c r="C4" s="27"/>
      <c r="D4" s="26"/>
      <c r="E4" s="27"/>
      <c r="F4" s="26"/>
      <c r="G4" s="27"/>
      <c r="H4" s="26"/>
      <c r="I4" s="27"/>
      <c r="J4" s="26"/>
      <c r="K4" s="27"/>
    </row>
    <row r="5" spans="1:11" x14ac:dyDescent="0.25">
      <c r="A5" t="s">
        <v>2</v>
      </c>
      <c r="B5" s="3"/>
      <c r="C5" s="4"/>
      <c r="D5" s="3"/>
      <c r="E5" s="4"/>
      <c r="F5" s="3"/>
      <c r="G5" s="4"/>
      <c r="H5" s="3"/>
      <c r="I5" s="4"/>
      <c r="J5" s="3"/>
      <c r="K5" s="4"/>
    </row>
    <row r="6" spans="1:11" x14ac:dyDescent="0.25">
      <c r="B6" s="3">
        <f>SUM(B2:B5)</f>
        <v>42860</v>
      </c>
      <c r="C6" s="4">
        <f>B6*0.02</f>
        <v>857.2</v>
      </c>
      <c r="D6" s="3">
        <f>SUM(D2:D5)</f>
        <v>0</v>
      </c>
      <c r="E6" s="4">
        <f>D6*0.02</f>
        <v>0</v>
      </c>
      <c r="F6" s="3">
        <f>SUM(F2:F5)</f>
        <v>0</v>
      </c>
      <c r="G6" s="4">
        <f>F6*0.02</f>
        <v>0</v>
      </c>
      <c r="H6" s="3">
        <f>SUM(H2:H5)</f>
        <v>0</v>
      </c>
      <c r="I6" s="4">
        <f>H6*0.02</f>
        <v>0</v>
      </c>
      <c r="J6" s="3">
        <f>SUM(J2:J5)</f>
        <v>0</v>
      </c>
      <c r="K6" s="4">
        <f>J6*0.02</f>
        <v>0</v>
      </c>
    </row>
    <row r="7" spans="1:11" x14ac:dyDescent="0.25">
      <c r="B7" s="3"/>
      <c r="C7" s="4"/>
      <c r="D7" s="3"/>
      <c r="E7" s="4"/>
      <c r="F7" s="3"/>
      <c r="G7" s="4"/>
      <c r="H7" s="3"/>
      <c r="I7" s="4"/>
      <c r="J7" s="3"/>
      <c r="K7" s="4"/>
    </row>
    <row r="8" spans="1:11" x14ac:dyDescent="0.25">
      <c r="A8" t="s">
        <v>12</v>
      </c>
      <c r="B8" s="5">
        <v>170</v>
      </c>
      <c r="C8" s="4">
        <f>B8*1500*0.6</f>
        <v>153000</v>
      </c>
      <c r="D8" s="5"/>
      <c r="E8" s="4">
        <f>D8*1500*0.6</f>
        <v>0</v>
      </c>
      <c r="F8" s="5"/>
      <c r="G8" s="4">
        <f>F8*1500*0.6</f>
        <v>0</v>
      </c>
      <c r="H8" s="5"/>
      <c r="I8" s="4">
        <f>H8*1500*0.6</f>
        <v>0</v>
      </c>
      <c r="J8" s="5"/>
      <c r="K8" s="4">
        <f>J8*1500*0.6</f>
        <v>0</v>
      </c>
    </row>
    <row r="9" spans="1:11" x14ac:dyDescent="0.25">
      <c r="A9" t="s">
        <v>13</v>
      </c>
      <c r="B9" s="5"/>
      <c r="C9" s="4">
        <f>B9*800*0.6</f>
        <v>0</v>
      </c>
      <c r="D9" s="5"/>
      <c r="E9" s="4">
        <f>D9*800*0.6</f>
        <v>0</v>
      </c>
      <c r="F9" s="5"/>
      <c r="G9" s="4">
        <f>F9*800*0.6</f>
        <v>0</v>
      </c>
      <c r="H9" s="5"/>
      <c r="I9" s="4">
        <f>H9*800*0.6</f>
        <v>0</v>
      </c>
      <c r="J9" s="5"/>
      <c r="K9" s="4">
        <f>J9*800*0.6</f>
        <v>0</v>
      </c>
    </row>
    <row r="10" spans="1:11" x14ac:dyDescent="0.25">
      <c r="A10" t="s">
        <v>3</v>
      </c>
      <c r="B10" s="5"/>
      <c r="C10" s="4">
        <f>B10*100</f>
        <v>0</v>
      </c>
      <c r="D10" s="5"/>
      <c r="E10" s="4">
        <f>D10*100</f>
        <v>0</v>
      </c>
      <c r="F10" s="5"/>
      <c r="G10" s="4">
        <f>F10*100</f>
        <v>0</v>
      </c>
      <c r="H10" s="5"/>
      <c r="I10" s="4">
        <f>H10*100</f>
        <v>0</v>
      </c>
      <c r="J10" s="5"/>
      <c r="K10" s="4">
        <f>J10*100</f>
        <v>0</v>
      </c>
    </row>
    <row r="11" spans="1:11" x14ac:dyDescent="0.25">
      <c r="A11" t="s">
        <v>4</v>
      </c>
      <c r="B11" s="5"/>
      <c r="C11" s="4">
        <f>B11:B11*200</f>
        <v>0</v>
      </c>
      <c r="D11" s="5"/>
      <c r="E11" s="4">
        <f>D11:D11*200</f>
        <v>0</v>
      </c>
      <c r="F11" s="5"/>
      <c r="G11" s="4">
        <f>F11:F11*200</f>
        <v>0</v>
      </c>
      <c r="H11" s="5"/>
      <c r="I11" s="4">
        <f>H11:H11*200</f>
        <v>0</v>
      </c>
      <c r="J11" s="5"/>
      <c r="K11" s="4">
        <f>J11:J11*200</f>
        <v>0</v>
      </c>
    </row>
    <row r="12" spans="1:11" x14ac:dyDescent="0.25">
      <c r="A12" t="s">
        <v>5</v>
      </c>
      <c r="B12" s="5"/>
      <c r="C12" s="4">
        <f>B12:B12*200</f>
        <v>0</v>
      </c>
      <c r="D12" s="5"/>
      <c r="E12" s="4">
        <f>D12:D12*200</f>
        <v>0</v>
      </c>
      <c r="F12" s="5"/>
      <c r="G12" s="4">
        <f>F12:F12*200</f>
        <v>0</v>
      </c>
      <c r="H12" s="5"/>
      <c r="I12" s="4">
        <f>H12:H12*200</f>
        <v>0</v>
      </c>
      <c r="J12" s="5"/>
      <c r="K12" s="4">
        <f>J12:J12*200</f>
        <v>0</v>
      </c>
    </row>
    <row r="13" spans="1:11" x14ac:dyDescent="0.25">
      <c r="A13" t="s">
        <v>6</v>
      </c>
      <c r="B13" s="5"/>
      <c r="C13" s="4">
        <f>B13*60</f>
        <v>0</v>
      </c>
      <c r="D13" s="5"/>
      <c r="E13" s="4">
        <f>D13*60</f>
        <v>0</v>
      </c>
      <c r="F13" s="5"/>
      <c r="G13" s="4">
        <f>F13*60</f>
        <v>0</v>
      </c>
      <c r="H13" s="5"/>
      <c r="I13" s="4">
        <f>H13*60</f>
        <v>0</v>
      </c>
      <c r="J13" s="5"/>
      <c r="K13" s="4">
        <f>J13*60</f>
        <v>0</v>
      </c>
    </row>
    <row r="14" spans="1:11" x14ac:dyDescent="0.25">
      <c r="A14" t="s">
        <v>7</v>
      </c>
      <c r="B14" s="5"/>
      <c r="C14" s="4">
        <f>B14*1000*0.1</f>
        <v>0</v>
      </c>
      <c r="D14" s="5"/>
      <c r="E14" s="4">
        <f>D14*1000*0.1</f>
        <v>0</v>
      </c>
      <c r="F14" s="5"/>
      <c r="G14" s="4">
        <f>F14*1000*0.1</f>
        <v>0</v>
      </c>
      <c r="H14" s="5"/>
      <c r="I14" s="4">
        <f>H14*1000*0.1</f>
        <v>0</v>
      </c>
      <c r="J14" s="5"/>
      <c r="K14" s="4">
        <f>J14*1000*0.1</f>
        <v>0</v>
      </c>
    </row>
    <row r="15" spans="1:11" x14ac:dyDescent="0.25">
      <c r="A15" t="s">
        <v>8</v>
      </c>
      <c r="B15" s="5"/>
      <c r="C15" s="4">
        <f>B15*600</f>
        <v>0</v>
      </c>
      <c r="D15" s="5"/>
      <c r="E15" s="4">
        <f>D15*600</f>
        <v>0</v>
      </c>
      <c r="F15" s="5"/>
      <c r="G15" s="4">
        <f>F15*600</f>
        <v>0</v>
      </c>
      <c r="H15" s="5"/>
      <c r="I15" s="4">
        <f>H15*600</f>
        <v>0</v>
      </c>
      <c r="J15" s="5"/>
      <c r="K15" s="4">
        <f>J15*600</f>
        <v>0</v>
      </c>
    </row>
    <row r="16" spans="1:11" x14ac:dyDescent="0.25">
      <c r="A16" t="s">
        <v>9</v>
      </c>
      <c r="B16" s="5"/>
      <c r="C16" s="4">
        <f>B16*70</f>
        <v>0</v>
      </c>
      <c r="D16" s="5"/>
      <c r="E16" s="4">
        <f>D16*70</f>
        <v>0</v>
      </c>
      <c r="F16" s="5"/>
      <c r="G16" s="4">
        <f>F16*70</f>
        <v>0</v>
      </c>
      <c r="H16" s="5"/>
      <c r="I16" s="4">
        <f>H16*70</f>
        <v>0</v>
      </c>
      <c r="J16" s="5"/>
      <c r="K16" s="4">
        <f>J16*70</f>
        <v>0</v>
      </c>
    </row>
    <row r="17" spans="1:11" x14ac:dyDescent="0.25">
      <c r="A17" t="s">
        <v>10</v>
      </c>
      <c r="B17" s="5"/>
      <c r="C17" s="4">
        <f>B17*50</f>
        <v>0</v>
      </c>
      <c r="D17" s="5"/>
      <c r="E17" s="4">
        <f>D17*50</f>
        <v>0</v>
      </c>
      <c r="F17" s="5"/>
      <c r="G17" s="4">
        <f>F17*50</f>
        <v>0</v>
      </c>
      <c r="H17" s="5"/>
      <c r="I17" s="4">
        <f>H17*50</f>
        <v>0</v>
      </c>
      <c r="J17" s="5"/>
      <c r="K17" s="4">
        <f>J17*50</f>
        <v>0</v>
      </c>
    </row>
    <row r="18" spans="1:11" x14ac:dyDescent="0.25">
      <c r="A18" t="s">
        <v>19</v>
      </c>
      <c r="B18" s="5">
        <v>40</v>
      </c>
      <c r="C18" s="4">
        <f>B18*200</f>
        <v>8000</v>
      </c>
      <c r="D18" s="5"/>
      <c r="E18" s="4">
        <f>D18*200</f>
        <v>0</v>
      </c>
      <c r="F18" s="5"/>
      <c r="G18" s="4">
        <f>F18*200</f>
        <v>0</v>
      </c>
      <c r="H18" s="5"/>
      <c r="I18" s="4">
        <f>H18*200</f>
        <v>0</v>
      </c>
      <c r="J18" s="5"/>
      <c r="K18" s="4">
        <f>J18*200</f>
        <v>0</v>
      </c>
    </row>
    <row r="19" spans="1:11" x14ac:dyDescent="0.25">
      <c r="A19" t="s">
        <v>20</v>
      </c>
      <c r="B19" s="5">
        <v>2</v>
      </c>
      <c r="C19" s="4">
        <f>B19*300</f>
        <v>600</v>
      </c>
      <c r="D19" s="5"/>
      <c r="E19" s="4">
        <f>D19*300</f>
        <v>0</v>
      </c>
      <c r="F19" s="5"/>
      <c r="G19" s="4">
        <f>F19*300</f>
        <v>0</v>
      </c>
      <c r="H19" s="5"/>
      <c r="I19" s="4">
        <f>H19*300</f>
        <v>0</v>
      </c>
      <c r="J19" s="5"/>
      <c r="K19" s="4">
        <f>J19*300</f>
        <v>0</v>
      </c>
    </row>
    <row r="20" spans="1:11" x14ac:dyDescent="0.25">
      <c r="A20" t="s">
        <v>174</v>
      </c>
      <c r="B20" s="5"/>
      <c r="C20" s="4">
        <v>2200</v>
      </c>
      <c r="D20" s="5"/>
      <c r="E20" s="4"/>
      <c r="F20" s="5"/>
      <c r="G20" s="4"/>
      <c r="H20" s="5"/>
      <c r="I20" s="4"/>
      <c r="J20" s="5"/>
      <c r="K20" s="4"/>
    </row>
    <row r="21" spans="1:11" x14ac:dyDescent="0.25">
      <c r="B21" s="3"/>
      <c r="C21" s="4"/>
      <c r="D21" s="3"/>
      <c r="E21" s="4"/>
      <c r="F21" s="5"/>
      <c r="G21" s="4"/>
      <c r="H21" s="5"/>
      <c r="I21" s="4"/>
      <c r="J21" s="11"/>
      <c r="K21" s="4"/>
    </row>
    <row r="22" spans="1:11" x14ac:dyDescent="0.25">
      <c r="B22" s="3"/>
      <c r="C22" s="4"/>
      <c r="D22" s="3"/>
      <c r="E22" s="4"/>
      <c r="F22" s="5"/>
      <c r="G22" s="4"/>
      <c r="H22" s="5"/>
      <c r="I22" s="4"/>
      <c r="J22" s="11"/>
      <c r="K22" s="4"/>
    </row>
    <row r="23" spans="1:11" ht="15.75" thickBot="1" x14ac:dyDescent="0.3">
      <c r="B23" s="6"/>
      <c r="C23" s="7"/>
      <c r="D23" s="6"/>
      <c r="E23" s="7"/>
      <c r="F23" s="9"/>
      <c r="G23" s="7"/>
      <c r="H23" s="9"/>
      <c r="I23" s="7"/>
      <c r="J23" s="9"/>
      <c r="K23" s="7"/>
    </row>
    <row r="24" spans="1:11" x14ac:dyDescent="0.25">
      <c r="C24" s="1">
        <f>SUM(C6:C23)</f>
        <v>164657.20000000001</v>
      </c>
      <c r="E24" s="1">
        <f>SUM(E6:E23)</f>
        <v>0</v>
      </c>
      <c r="G24" s="2">
        <f>SUM(G6:G23)</f>
        <v>0</v>
      </c>
      <c r="I24" s="2">
        <f>SUM(I6:I23)</f>
        <v>0</v>
      </c>
      <c r="K24" s="2">
        <f>SUM(K6:K23)</f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"/>
  <sheetViews>
    <sheetView workbookViewId="0">
      <selection activeCell="L13" sqref="L13:L14"/>
    </sheetView>
  </sheetViews>
  <sheetFormatPr defaultRowHeight="15" x14ac:dyDescent="0.25"/>
  <cols>
    <col min="1" max="1" width="19.85546875" bestFit="1" customWidth="1"/>
    <col min="2" max="2" width="12.5703125" style="1" bestFit="1" customWidth="1"/>
    <col min="3" max="3" width="11.5703125" style="1" bestFit="1" customWidth="1"/>
    <col min="4" max="4" width="12.5703125" style="1" bestFit="1" customWidth="1"/>
    <col min="5" max="5" width="11.5703125" style="1" bestFit="1" customWidth="1"/>
    <col min="6" max="6" width="12.5703125" style="1" bestFit="1" customWidth="1"/>
    <col min="7" max="7" width="11.5703125" style="1" bestFit="1" customWidth="1"/>
    <col min="8" max="8" width="12.5703125" style="1" bestFit="1" customWidth="1"/>
    <col min="9" max="9" width="11.5703125" style="1" bestFit="1" customWidth="1"/>
    <col min="10" max="10" width="12.5703125" style="1" bestFit="1" customWidth="1"/>
    <col min="11" max="11" width="11.5703125" style="1" bestFit="1" customWidth="1"/>
    <col min="12" max="12" width="12.5703125" style="1" bestFit="1" customWidth="1"/>
    <col min="13" max="13" width="11.5703125" style="1" bestFit="1" customWidth="1"/>
    <col min="14" max="14" width="12.5703125" style="1" bestFit="1" customWidth="1"/>
    <col min="15" max="15" width="11.5703125" style="1" bestFit="1" customWidth="1"/>
  </cols>
  <sheetData>
    <row r="1" spans="1:15" ht="15.75" x14ac:dyDescent="0.25">
      <c r="A1" s="12"/>
      <c r="B1" s="13" t="s">
        <v>27</v>
      </c>
      <c r="C1" s="14"/>
      <c r="D1" s="13" t="s">
        <v>33</v>
      </c>
      <c r="E1" s="14"/>
      <c r="F1" s="13" t="s">
        <v>34</v>
      </c>
      <c r="G1" s="14"/>
      <c r="H1" s="13" t="s">
        <v>35</v>
      </c>
      <c r="I1" s="14"/>
      <c r="J1" s="13" t="s">
        <v>36</v>
      </c>
      <c r="K1" s="14"/>
      <c r="L1" s="13" t="s">
        <v>50</v>
      </c>
      <c r="M1" s="14"/>
      <c r="N1" s="13" t="s">
        <v>39</v>
      </c>
      <c r="O1" s="14"/>
    </row>
    <row r="2" spans="1:15" x14ac:dyDescent="0.25">
      <c r="A2" t="s">
        <v>32</v>
      </c>
      <c r="B2" s="5"/>
      <c r="C2" s="4"/>
      <c r="D2" s="5"/>
      <c r="E2" s="4"/>
      <c r="F2" s="5"/>
      <c r="G2" s="4"/>
      <c r="H2" s="5"/>
      <c r="I2" s="4"/>
      <c r="J2" s="5"/>
      <c r="K2" s="4"/>
      <c r="L2" s="5"/>
      <c r="M2" s="4"/>
      <c r="N2" s="5"/>
      <c r="O2" s="4"/>
    </row>
    <row r="3" spans="1:15" x14ac:dyDescent="0.25">
      <c r="B3" s="5"/>
      <c r="C3" s="4"/>
      <c r="D3" s="5"/>
      <c r="E3" s="4"/>
      <c r="F3" s="5"/>
      <c r="G3" s="4"/>
      <c r="H3" s="5"/>
      <c r="I3" s="4"/>
      <c r="J3" s="5"/>
      <c r="K3" s="4"/>
      <c r="L3" s="5"/>
      <c r="M3" s="4"/>
      <c r="N3" s="5"/>
      <c r="O3" s="4"/>
    </row>
    <row r="4" spans="1:15" x14ac:dyDescent="0.25">
      <c r="A4" t="s">
        <v>28</v>
      </c>
      <c r="B4" s="5"/>
      <c r="C4" s="4">
        <f>B4*700*0.4</f>
        <v>0</v>
      </c>
      <c r="D4" s="5"/>
      <c r="E4" s="4">
        <f>D4*700*0.4</f>
        <v>0</v>
      </c>
      <c r="F4" s="5"/>
      <c r="G4" s="4">
        <f>F4*700*0.4</f>
        <v>0</v>
      </c>
      <c r="H4" s="5"/>
      <c r="I4" s="4">
        <f>H4*1000*0.4</f>
        <v>0</v>
      </c>
      <c r="J4" s="5"/>
      <c r="K4" s="4">
        <f>J4*1000*0.4</f>
        <v>0</v>
      </c>
      <c r="L4" s="5"/>
      <c r="M4" s="4">
        <f>L4*2500*0.4</f>
        <v>0</v>
      </c>
      <c r="N4" s="5"/>
      <c r="O4" s="4">
        <f>N4*700*0.4</f>
        <v>0</v>
      </c>
    </row>
    <row r="5" spans="1:15" x14ac:dyDescent="0.25">
      <c r="A5" t="s">
        <v>29</v>
      </c>
      <c r="B5" s="5"/>
      <c r="C5" s="4">
        <f>B5*500*0.4</f>
        <v>0</v>
      </c>
      <c r="D5" s="5"/>
      <c r="E5" s="4">
        <f>D5*500*0.4</f>
        <v>0</v>
      </c>
      <c r="F5" s="5"/>
      <c r="G5" s="4">
        <f>F5*500*0.4</f>
        <v>0</v>
      </c>
      <c r="H5" s="5"/>
      <c r="I5" s="4">
        <f>H5*500*0.4</f>
        <v>0</v>
      </c>
      <c r="J5" s="5"/>
      <c r="K5" s="4">
        <f>J5*500*0.4</f>
        <v>0</v>
      </c>
      <c r="L5" s="5"/>
      <c r="M5" s="4">
        <f>L5*500*0.4</f>
        <v>0</v>
      </c>
      <c r="N5" s="5"/>
      <c r="O5" s="4">
        <f>N5*500*0.4</f>
        <v>0</v>
      </c>
    </row>
    <row r="6" spans="1:15" x14ac:dyDescent="0.25">
      <c r="B6" s="5"/>
      <c r="C6" s="4"/>
      <c r="D6" s="5"/>
      <c r="E6" s="4"/>
      <c r="F6" s="5"/>
      <c r="G6" s="4"/>
      <c r="H6" s="5"/>
      <c r="I6" s="4"/>
      <c r="J6" s="5"/>
      <c r="K6" s="4"/>
      <c r="L6" s="5"/>
      <c r="M6" s="4"/>
      <c r="N6" s="5"/>
      <c r="O6" s="4"/>
    </row>
    <row r="7" spans="1:15" x14ac:dyDescent="0.25">
      <c r="A7" t="s">
        <v>30</v>
      </c>
      <c r="B7" s="5"/>
      <c r="C7" s="4">
        <f>B7*1500*0.4</f>
        <v>0</v>
      </c>
      <c r="D7" s="5"/>
      <c r="E7" s="4">
        <f>D7*1500*0.4</f>
        <v>0</v>
      </c>
      <c r="F7" s="5"/>
      <c r="G7" s="4">
        <f>F7*1500*0.4</f>
        <v>0</v>
      </c>
      <c r="H7" s="5"/>
      <c r="I7" s="4">
        <f>H7*2500*0.4</f>
        <v>0</v>
      </c>
      <c r="J7" s="5"/>
      <c r="K7" s="4">
        <f>J7*2500*0.4</f>
        <v>0</v>
      </c>
      <c r="L7" s="5"/>
      <c r="M7" s="4">
        <f>L7*700</f>
        <v>0</v>
      </c>
      <c r="N7" s="5"/>
      <c r="O7" s="4">
        <f>N7*1500*0.4</f>
        <v>0</v>
      </c>
    </row>
    <row r="8" spans="1:15" x14ac:dyDescent="0.25">
      <c r="A8" t="s">
        <v>31</v>
      </c>
      <c r="B8" s="5"/>
      <c r="C8" s="4">
        <f>B8*700*0.4</f>
        <v>0</v>
      </c>
      <c r="D8" s="5"/>
      <c r="E8" s="4">
        <f>D8*700*0.4</f>
        <v>0</v>
      </c>
      <c r="F8" s="5"/>
      <c r="G8" s="4">
        <f>F8*700*0.4</f>
        <v>0</v>
      </c>
      <c r="H8" s="5"/>
      <c r="I8" s="4">
        <f>H8*700*0.4</f>
        <v>0</v>
      </c>
      <c r="J8" s="5"/>
      <c r="K8" s="4">
        <f>J8*700*0.4</f>
        <v>0</v>
      </c>
      <c r="L8" s="5"/>
      <c r="M8" s="4">
        <f>L8*700*0.4</f>
        <v>0</v>
      </c>
      <c r="N8" s="5"/>
      <c r="O8" s="4">
        <f>N8*700*0.4</f>
        <v>0</v>
      </c>
    </row>
    <row r="9" spans="1:15" x14ac:dyDescent="0.25">
      <c r="B9" s="5"/>
      <c r="C9" s="4"/>
      <c r="D9" s="5"/>
      <c r="E9" s="4"/>
      <c r="F9" s="5"/>
      <c r="G9" s="4"/>
      <c r="H9" s="5"/>
      <c r="I9" s="4"/>
      <c r="J9" s="5"/>
      <c r="K9" s="4"/>
      <c r="L9" s="5"/>
      <c r="M9" s="4"/>
      <c r="N9" s="5"/>
      <c r="O9" s="4"/>
    </row>
    <row r="10" spans="1:15" x14ac:dyDescent="0.25">
      <c r="A10" t="s">
        <v>51</v>
      </c>
      <c r="B10" s="5"/>
      <c r="C10" s="4">
        <f>B10*20</f>
        <v>0</v>
      </c>
      <c r="D10" s="5"/>
      <c r="E10" s="4">
        <f>D10*20</f>
        <v>0</v>
      </c>
      <c r="F10" s="5"/>
      <c r="G10" s="4">
        <f>F10*20</f>
        <v>0</v>
      </c>
      <c r="H10" s="5"/>
      <c r="I10" s="4">
        <f>H10*1000*0.1</f>
        <v>0</v>
      </c>
      <c r="J10" s="5"/>
      <c r="K10" s="4">
        <f>J10*1000*0.1</f>
        <v>0</v>
      </c>
      <c r="L10" s="5"/>
      <c r="M10" s="4">
        <f>L10*20</f>
        <v>0</v>
      </c>
      <c r="N10" s="5"/>
      <c r="O10" s="4">
        <f>N10*20</f>
        <v>0</v>
      </c>
    </row>
    <row r="11" spans="1:15" x14ac:dyDescent="0.25">
      <c r="A11" t="s">
        <v>52</v>
      </c>
      <c r="B11" s="5"/>
      <c r="C11" s="4">
        <f>B11*20</f>
        <v>0</v>
      </c>
      <c r="D11" s="5"/>
      <c r="E11" s="4">
        <f>D11*20</f>
        <v>0</v>
      </c>
      <c r="F11" s="5"/>
      <c r="G11" s="4">
        <f>F11*20</f>
        <v>0</v>
      </c>
      <c r="H11" s="5"/>
      <c r="I11" s="4">
        <f>H11*1000*0.1</f>
        <v>0</v>
      </c>
      <c r="J11" s="5"/>
      <c r="K11" s="4">
        <f>J11*1000*0.1</f>
        <v>0</v>
      </c>
      <c r="L11" s="5"/>
      <c r="M11" s="4">
        <f>L11*20</f>
        <v>0</v>
      </c>
      <c r="N11" s="5"/>
      <c r="O11" s="4">
        <f>N11*20</f>
        <v>0</v>
      </c>
    </row>
    <row r="12" spans="1:15" x14ac:dyDescent="0.25">
      <c r="B12" s="5"/>
      <c r="C12" s="4"/>
      <c r="D12" s="5"/>
      <c r="E12" s="4"/>
      <c r="F12" s="5"/>
      <c r="G12" s="4"/>
      <c r="H12" s="5"/>
      <c r="I12" s="4"/>
      <c r="J12" s="5"/>
      <c r="K12" s="4"/>
      <c r="L12" s="5"/>
      <c r="M12" s="4"/>
      <c r="N12" s="5"/>
      <c r="O12" s="4"/>
    </row>
    <row r="13" spans="1:15" x14ac:dyDescent="0.25">
      <c r="A13" t="s">
        <v>57</v>
      </c>
      <c r="B13" s="5"/>
      <c r="C13" s="4">
        <f>B13*20</f>
        <v>0</v>
      </c>
      <c r="D13" s="5"/>
      <c r="E13" s="4">
        <f>D13*20</f>
        <v>0</v>
      </c>
      <c r="F13" s="5"/>
      <c r="G13" s="4">
        <f>F13*20</f>
        <v>0</v>
      </c>
      <c r="H13" s="5"/>
      <c r="I13" s="4">
        <f>H13*1000*0.1</f>
        <v>0</v>
      </c>
      <c r="J13" s="5"/>
      <c r="K13" s="4">
        <f>J13*1000*0.1</f>
        <v>0</v>
      </c>
      <c r="L13" s="5"/>
      <c r="M13" s="4">
        <f>L13*2500*0.4</f>
        <v>0</v>
      </c>
      <c r="N13" s="5"/>
      <c r="O13" s="4">
        <f>N13*20</f>
        <v>0</v>
      </c>
    </row>
    <row r="14" spans="1:15" x14ac:dyDescent="0.25">
      <c r="A14" t="s">
        <v>58</v>
      </c>
      <c r="B14" s="5"/>
      <c r="C14" s="4">
        <f>B14*20</f>
        <v>0</v>
      </c>
      <c r="D14" s="5"/>
      <c r="E14" s="4">
        <f>D14*20</f>
        <v>0</v>
      </c>
      <c r="F14" s="5"/>
      <c r="G14" s="4">
        <f>F14*20</f>
        <v>0</v>
      </c>
      <c r="H14" s="5"/>
      <c r="I14" s="4">
        <f>H14*1000*0.1</f>
        <v>0</v>
      </c>
      <c r="J14" s="5"/>
      <c r="K14" s="4">
        <f>J14*1000*0.1</f>
        <v>0</v>
      </c>
      <c r="L14" s="5"/>
      <c r="M14" s="4">
        <f>L14*700*0.4</f>
        <v>0</v>
      </c>
      <c r="N14" s="5"/>
      <c r="O14" s="4">
        <f>N14*20</f>
        <v>0</v>
      </c>
    </row>
    <row r="15" spans="1:15" ht="15.75" thickBot="1" x14ac:dyDescent="0.3">
      <c r="B15" s="6"/>
      <c r="C15" s="7"/>
      <c r="D15" s="6"/>
      <c r="E15" s="7"/>
      <c r="F15" s="6"/>
      <c r="G15" s="7"/>
      <c r="H15" s="6"/>
      <c r="I15" s="7"/>
      <c r="J15" s="6"/>
      <c r="K15" s="7"/>
      <c r="L15" s="6"/>
      <c r="M15" s="7"/>
      <c r="N15" s="6"/>
      <c r="O15" s="7"/>
    </row>
    <row r="16" spans="1:15" x14ac:dyDescent="0.25">
      <c r="C16" s="39">
        <f>SUM(C2:C15)</f>
        <v>0</v>
      </c>
      <c r="D16" s="39"/>
      <c r="E16" s="39">
        <f>SUM(E2:E15)</f>
        <v>0</v>
      </c>
      <c r="F16" s="39"/>
      <c r="G16" s="39">
        <f>SUM(G2:G15)</f>
        <v>0</v>
      </c>
      <c r="H16" s="39"/>
      <c r="I16" s="39">
        <f>SUM(I2:I15)</f>
        <v>0</v>
      </c>
      <c r="J16" s="39"/>
      <c r="K16" s="39">
        <f>SUM(K2:K15)</f>
        <v>0</v>
      </c>
      <c r="L16" s="39"/>
      <c r="M16" s="39">
        <f>SUM(M2:M15)</f>
        <v>0</v>
      </c>
      <c r="N16" s="39"/>
      <c r="O16" s="39">
        <f>SUM(O2:O15)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5"/>
  <sheetViews>
    <sheetView workbookViewId="0">
      <pane xSplit="1" topLeftCell="B1" activePane="topRight" state="frozen"/>
      <selection pane="topRight" activeCell="L13" sqref="L13"/>
    </sheetView>
  </sheetViews>
  <sheetFormatPr defaultRowHeight="15" x14ac:dyDescent="0.25"/>
  <cols>
    <col min="1" max="1" width="19.85546875" bestFit="1" customWidth="1"/>
    <col min="2" max="2" width="12.85546875" style="1" bestFit="1" customWidth="1"/>
    <col min="3" max="3" width="11.5703125" style="1" bestFit="1" customWidth="1"/>
    <col min="4" max="4" width="13.28515625" bestFit="1" customWidth="1"/>
    <col min="5" max="5" width="11.5703125" bestFit="1" customWidth="1"/>
    <col min="6" max="6" width="13.28515625" bestFit="1" customWidth="1"/>
    <col min="7" max="7" width="11.5703125" bestFit="1" customWidth="1"/>
    <col min="8" max="8" width="13.28515625" bestFit="1" customWidth="1"/>
    <col min="9" max="9" width="11.5703125" bestFit="1" customWidth="1"/>
    <col min="10" max="10" width="13.28515625" bestFit="1" customWidth="1"/>
    <col min="11" max="11" width="11.5703125" bestFit="1" customWidth="1"/>
    <col min="12" max="12" width="13.28515625" bestFit="1" customWidth="1"/>
    <col min="13" max="13" width="11.5703125" bestFit="1" customWidth="1"/>
    <col min="14" max="14" width="13.28515625" bestFit="1" customWidth="1"/>
    <col min="15" max="15" width="11.5703125" bestFit="1" customWidth="1"/>
  </cols>
  <sheetData>
    <row r="1" spans="1:15" s="12" customFormat="1" ht="15.75" x14ac:dyDescent="0.25">
      <c r="B1" s="13" t="s">
        <v>67</v>
      </c>
      <c r="C1" s="14"/>
      <c r="D1" s="15" t="s">
        <v>68</v>
      </c>
      <c r="E1" s="16"/>
      <c r="F1" s="15" t="s">
        <v>169</v>
      </c>
      <c r="G1" s="16"/>
      <c r="H1" s="15" t="s">
        <v>170</v>
      </c>
      <c r="I1" s="16"/>
      <c r="J1" s="15" t="s">
        <v>171</v>
      </c>
      <c r="K1" s="16"/>
      <c r="L1" s="15" t="s">
        <v>211</v>
      </c>
      <c r="M1" s="16"/>
      <c r="N1" s="15" t="s">
        <v>36</v>
      </c>
      <c r="O1" s="16"/>
    </row>
    <row r="2" spans="1:15" x14ac:dyDescent="0.25">
      <c r="A2" t="s">
        <v>14</v>
      </c>
      <c r="B2" s="5"/>
      <c r="C2" s="8">
        <f>B2*250</f>
        <v>0</v>
      </c>
      <c r="D2" s="5"/>
      <c r="E2" s="8">
        <f>D2*250</f>
        <v>0</v>
      </c>
      <c r="F2" s="5"/>
      <c r="G2" s="8">
        <f>F2*250</f>
        <v>0</v>
      </c>
      <c r="H2" s="5"/>
      <c r="I2" s="8">
        <f t="shared" ref="I2" si="0">H2*250</f>
        <v>0</v>
      </c>
      <c r="J2" s="5"/>
      <c r="K2" s="8">
        <f t="shared" ref="K2" si="1">J2*250</f>
        <v>0</v>
      </c>
      <c r="L2" s="5"/>
      <c r="M2" s="8">
        <f t="shared" ref="M2" si="2">L2*250</f>
        <v>0</v>
      </c>
      <c r="N2" s="5"/>
      <c r="O2" s="8">
        <f t="shared" ref="O2" si="3">N2*250</f>
        <v>0</v>
      </c>
    </row>
    <row r="3" spans="1:15" x14ac:dyDescent="0.25">
      <c r="A3" t="s">
        <v>15</v>
      </c>
      <c r="B3" s="5"/>
      <c r="C3" s="8">
        <f>B3*350</f>
        <v>0</v>
      </c>
      <c r="D3" s="5"/>
      <c r="E3" s="8">
        <f>D3*350</f>
        <v>0</v>
      </c>
      <c r="F3" s="5"/>
      <c r="G3" s="8">
        <f t="shared" ref="G3" si="4">F3*350</f>
        <v>0</v>
      </c>
      <c r="H3" s="5"/>
      <c r="I3" s="8">
        <f t="shared" ref="I3" si="5">H3*350</f>
        <v>0</v>
      </c>
      <c r="J3" s="5"/>
      <c r="K3" s="8">
        <f t="shared" ref="K3" si="6">J3*350</f>
        <v>0</v>
      </c>
      <c r="L3" s="5"/>
      <c r="M3" s="8">
        <f t="shared" ref="M3" si="7">L3*350</f>
        <v>0</v>
      </c>
      <c r="N3" s="5"/>
      <c r="O3" s="8">
        <f t="shared" ref="O3" si="8">N3*350</f>
        <v>0</v>
      </c>
    </row>
    <row r="4" spans="1:15" x14ac:dyDescent="0.25">
      <c r="A4" t="s">
        <v>16</v>
      </c>
      <c r="B4" s="5"/>
      <c r="C4" s="8">
        <f>B4*250</f>
        <v>0</v>
      </c>
      <c r="D4" s="5"/>
      <c r="E4" s="8">
        <f t="shared" ref="E4" si="9">D4*250</f>
        <v>0</v>
      </c>
      <c r="F4" s="5"/>
      <c r="G4" s="8">
        <f t="shared" ref="G4" si="10">F4*250</f>
        <v>0</v>
      </c>
      <c r="H4" s="5"/>
      <c r="I4" s="8">
        <f t="shared" ref="I4" si="11">H4*250</f>
        <v>0</v>
      </c>
      <c r="J4" s="5"/>
      <c r="K4" s="8">
        <f t="shared" ref="K4" si="12">J4*250</f>
        <v>0</v>
      </c>
      <c r="L4" s="5"/>
      <c r="M4" s="8">
        <f t="shared" ref="M4" si="13">L4*250</f>
        <v>0</v>
      </c>
      <c r="N4" s="5"/>
      <c r="O4" s="8">
        <f t="shared" ref="O4" si="14">N4*250</f>
        <v>0</v>
      </c>
    </row>
    <row r="5" spans="1:15" x14ac:dyDescent="0.25">
      <c r="A5" t="s">
        <v>17</v>
      </c>
      <c r="B5" s="5"/>
      <c r="C5" s="8">
        <f>B5*350</f>
        <v>0</v>
      </c>
      <c r="D5" s="5"/>
      <c r="E5" s="8">
        <f t="shared" ref="E5" si="15">D5*350</f>
        <v>0</v>
      </c>
      <c r="F5" s="5"/>
      <c r="G5" s="8">
        <f t="shared" ref="G5" si="16">F5*350</f>
        <v>0</v>
      </c>
      <c r="H5" s="5"/>
      <c r="I5" s="8">
        <f t="shared" ref="I5" si="17">H5*350</f>
        <v>0</v>
      </c>
      <c r="J5" s="5"/>
      <c r="K5" s="8">
        <f t="shared" ref="K5" si="18">J5*350</f>
        <v>0</v>
      </c>
      <c r="L5" s="5"/>
      <c r="M5" s="8">
        <f t="shared" ref="M5" si="19">L5*350</f>
        <v>0</v>
      </c>
      <c r="N5" s="5"/>
      <c r="O5" s="8">
        <f t="shared" ref="O5" si="20">N5*350</f>
        <v>0</v>
      </c>
    </row>
    <row r="6" spans="1:15" x14ac:dyDescent="0.25">
      <c r="A6" t="s">
        <v>18</v>
      </c>
      <c r="B6" s="5"/>
      <c r="C6" s="4"/>
      <c r="D6" s="5"/>
      <c r="E6" s="8">
        <f>D6*200</f>
        <v>0</v>
      </c>
      <c r="F6" s="5"/>
      <c r="G6" s="8">
        <f>F6*200</f>
        <v>0</v>
      </c>
      <c r="H6" s="5"/>
      <c r="I6" s="8">
        <f>H6*200</f>
        <v>0</v>
      </c>
      <c r="J6" s="5"/>
      <c r="K6" s="8">
        <f>J6*200</f>
        <v>0</v>
      </c>
      <c r="L6" s="5"/>
      <c r="M6" s="8">
        <f>L6*200</f>
        <v>0</v>
      </c>
      <c r="N6" s="5"/>
      <c r="O6" s="8">
        <f>N6*200</f>
        <v>0</v>
      </c>
    </row>
    <row r="7" spans="1:15" x14ac:dyDescent="0.25">
      <c r="A7" t="s">
        <v>24</v>
      </c>
      <c r="B7" s="5"/>
      <c r="C7" s="4"/>
      <c r="D7" s="5"/>
      <c r="E7" s="8"/>
      <c r="F7" s="5"/>
      <c r="G7" s="8"/>
      <c r="H7" s="5"/>
      <c r="I7" s="8"/>
      <c r="J7" s="5"/>
      <c r="K7" s="8"/>
      <c r="L7" s="5"/>
      <c r="M7" s="8"/>
      <c r="N7" s="5"/>
      <c r="O7" s="8"/>
    </row>
    <row r="8" spans="1:15" x14ac:dyDescent="0.25">
      <c r="A8" t="s">
        <v>21</v>
      </c>
      <c r="B8" s="5"/>
      <c r="C8" s="4"/>
      <c r="D8" s="5"/>
      <c r="E8" s="8"/>
      <c r="F8" s="5"/>
      <c r="G8" s="8"/>
      <c r="H8" s="5"/>
      <c r="I8" s="8"/>
      <c r="J8" s="5"/>
      <c r="K8" s="8"/>
      <c r="L8" s="5"/>
      <c r="M8" s="8"/>
      <c r="N8" s="5"/>
      <c r="O8" s="8"/>
    </row>
    <row r="9" spans="1:15" x14ac:dyDescent="0.25">
      <c r="A9" t="s">
        <v>37</v>
      </c>
      <c r="B9" s="5"/>
      <c r="C9" s="4">
        <f>B9*100</f>
        <v>0</v>
      </c>
      <c r="D9" s="3"/>
      <c r="E9" s="4">
        <f>D9*100</f>
        <v>0</v>
      </c>
      <c r="F9" s="3"/>
      <c r="G9" s="4">
        <f>F9*100</f>
        <v>0</v>
      </c>
      <c r="H9" s="3"/>
      <c r="I9" s="4">
        <f>H9*100</f>
        <v>0</v>
      </c>
      <c r="J9" s="3"/>
      <c r="K9" s="4">
        <f>J9*100</f>
        <v>0</v>
      </c>
      <c r="L9" s="3"/>
      <c r="M9" s="4">
        <f>L9*100</f>
        <v>0</v>
      </c>
      <c r="N9" s="3"/>
      <c r="O9" s="4">
        <f>N9*100</f>
        <v>0</v>
      </c>
    </row>
    <row r="10" spans="1:15" x14ac:dyDescent="0.25">
      <c r="A10" t="s">
        <v>25</v>
      </c>
      <c r="B10" s="5"/>
      <c r="C10" s="4"/>
      <c r="D10" s="5"/>
      <c r="E10" s="8"/>
      <c r="F10" s="5"/>
      <c r="G10" s="8"/>
      <c r="H10" s="5"/>
      <c r="I10" s="8"/>
      <c r="J10" s="5"/>
      <c r="K10" s="8"/>
      <c r="L10" s="5"/>
      <c r="M10" s="8"/>
      <c r="N10" s="5"/>
      <c r="O10" s="8"/>
    </row>
    <row r="11" spans="1:15" x14ac:dyDescent="0.25">
      <c r="A11" t="s">
        <v>26</v>
      </c>
      <c r="B11" s="5"/>
      <c r="C11" s="4"/>
      <c r="D11" s="5"/>
      <c r="E11" s="8"/>
      <c r="F11" s="5"/>
      <c r="G11" s="8"/>
      <c r="H11" s="5"/>
      <c r="I11" s="8"/>
      <c r="J11" s="5"/>
      <c r="K11" s="8"/>
      <c r="L11" s="5"/>
      <c r="M11" s="8"/>
      <c r="N11" s="5"/>
      <c r="O11" s="8"/>
    </row>
    <row r="12" spans="1:15" x14ac:dyDescent="0.25">
      <c r="A12" t="s">
        <v>60</v>
      </c>
      <c r="B12" s="5"/>
      <c r="C12" s="4"/>
      <c r="D12" s="5"/>
      <c r="E12" s="8"/>
      <c r="F12" s="5"/>
      <c r="G12" s="8"/>
      <c r="H12" s="5"/>
      <c r="I12" s="8"/>
      <c r="J12" s="5"/>
      <c r="K12" s="8"/>
      <c r="L12" s="5"/>
      <c r="M12" s="8"/>
      <c r="N12" s="5"/>
      <c r="O12" s="8"/>
    </row>
    <row r="13" spans="1:15" x14ac:dyDescent="0.25">
      <c r="A13" t="s">
        <v>86</v>
      </c>
      <c r="B13" s="5"/>
      <c r="C13" s="4">
        <f>B13*400</f>
        <v>0</v>
      </c>
      <c r="D13" s="5"/>
      <c r="E13" s="4">
        <f>D13*400</f>
        <v>0</v>
      </c>
      <c r="F13" s="3"/>
      <c r="G13" s="4">
        <f t="shared" ref="G13" si="21">F13*200</f>
        <v>0</v>
      </c>
      <c r="H13" s="3"/>
      <c r="I13" s="4">
        <f t="shared" ref="I13" si="22">H13*200</f>
        <v>0</v>
      </c>
      <c r="J13" s="3"/>
      <c r="K13" s="4">
        <f t="shared" ref="K13" si="23">J13*200</f>
        <v>0</v>
      </c>
      <c r="L13" s="3"/>
      <c r="M13" s="4">
        <f t="shared" ref="M13" si="24">L13*200</f>
        <v>0</v>
      </c>
      <c r="N13" s="3"/>
      <c r="O13" s="4">
        <f t="shared" ref="O13" si="25">N13*200</f>
        <v>0</v>
      </c>
    </row>
    <row r="14" spans="1:15" x14ac:dyDescent="0.25">
      <c r="A14" t="s">
        <v>118</v>
      </c>
      <c r="B14" s="32">
        <v>18500</v>
      </c>
      <c r="C14" s="28"/>
      <c r="D14" s="32">
        <v>18500</v>
      </c>
      <c r="E14" s="28"/>
      <c r="F14" s="32">
        <v>18500</v>
      </c>
      <c r="G14" s="28"/>
      <c r="H14" s="32">
        <v>18500</v>
      </c>
      <c r="I14" s="28"/>
      <c r="J14" s="32">
        <v>18500</v>
      </c>
      <c r="K14" s="28"/>
      <c r="L14" s="32">
        <v>18500</v>
      </c>
      <c r="M14" s="28"/>
      <c r="N14" s="32"/>
      <c r="O14" s="28"/>
    </row>
    <row r="15" spans="1:15" x14ac:dyDescent="0.25">
      <c r="A15" t="s">
        <v>204</v>
      </c>
      <c r="B15" s="32"/>
      <c r="C15" s="28">
        <v>14175</v>
      </c>
      <c r="D15" s="32"/>
      <c r="E15" s="28">
        <v>14175</v>
      </c>
      <c r="F15" s="32"/>
      <c r="G15" s="28">
        <v>14175</v>
      </c>
      <c r="H15" s="32"/>
      <c r="I15" s="28">
        <v>14175</v>
      </c>
      <c r="J15" s="32"/>
      <c r="K15" s="28">
        <v>14175</v>
      </c>
      <c r="L15" s="32"/>
      <c r="M15" s="28">
        <v>14175</v>
      </c>
      <c r="N15" s="32"/>
      <c r="O15" s="28"/>
    </row>
    <row r="16" spans="1:15" x14ac:dyDescent="0.25">
      <c r="B16" s="3"/>
      <c r="C16" s="4"/>
      <c r="D16" s="5"/>
      <c r="E16" s="8"/>
      <c r="F16" s="5"/>
      <c r="G16" s="8"/>
      <c r="H16" s="5"/>
      <c r="I16" s="8"/>
      <c r="J16" s="5"/>
      <c r="K16" s="8"/>
      <c r="L16" s="5"/>
      <c r="M16" s="8"/>
      <c r="N16" s="5"/>
      <c r="O16" s="8"/>
    </row>
    <row r="17" spans="2:15" x14ac:dyDescent="0.25">
      <c r="B17" s="3"/>
      <c r="C17" s="4"/>
      <c r="D17" s="5"/>
      <c r="E17" s="8"/>
      <c r="F17" s="5"/>
      <c r="G17" s="8"/>
      <c r="H17" s="5"/>
      <c r="I17" s="8"/>
      <c r="J17" s="5"/>
      <c r="K17" s="8"/>
      <c r="L17" s="5"/>
      <c r="M17" s="8"/>
      <c r="N17" s="5"/>
      <c r="O17" s="8"/>
    </row>
    <row r="18" spans="2:15" x14ac:dyDescent="0.25">
      <c r="B18" s="3"/>
      <c r="C18" s="4"/>
      <c r="D18" s="5"/>
      <c r="E18" s="8"/>
      <c r="F18" s="5"/>
      <c r="G18" s="8"/>
      <c r="H18" s="5"/>
      <c r="I18" s="8"/>
      <c r="J18" s="5"/>
      <c r="K18" s="8"/>
      <c r="L18" s="5"/>
      <c r="M18" s="8"/>
      <c r="N18" s="5"/>
      <c r="O18" s="8"/>
    </row>
    <row r="19" spans="2:15" ht="15.75" thickBot="1" x14ac:dyDescent="0.3">
      <c r="B19" s="6"/>
      <c r="C19" s="7"/>
      <c r="D19" s="9"/>
      <c r="E19" s="10"/>
      <c r="F19" s="9"/>
      <c r="G19" s="10"/>
      <c r="H19" s="9"/>
      <c r="I19" s="10"/>
      <c r="J19" s="9"/>
      <c r="K19" s="10"/>
      <c r="L19" s="9"/>
      <c r="M19" s="10"/>
      <c r="N19" s="9"/>
      <c r="O19" s="10"/>
    </row>
    <row r="20" spans="2:15" x14ac:dyDescent="0.25">
      <c r="C20" s="1">
        <f>SUM(C2:C19)</f>
        <v>14175</v>
      </c>
      <c r="E20" s="1">
        <f>SUM(E2:E19)</f>
        <v>14175</v>
      </c>
      <c r="G20" s="1">
        <f>SUM(G2:G19)</f>
        <v>14175</v>
      </c>
      <c r="I20" s="1">
        <f>SUM(I2:I19)</f>
        <v>14175</v>
      </c>
      <c r="K20" s="1">
        <f>SUM(K2:K19)</f>
        <v>14175</v>
      </c>
      <c r="M20" s="1">
        <f>SUM(M2:M19)</f>
        <v>14175</v>
      </c>
      <c r="O20" s="1">
        <f>SUM(O2:O19)</f>
        <v>0</v>
      </c>
    </row>
    <row r="21" spans="2:15" x14ac:dyDescent="0.25">
      <c r="E21" s="2"/>
      <c r="G21" s="2"/>
      <c r="I21" s="2"/>
      <c r="K21" s="2"/>
      <c r="M21" s="2"/>
      <c r="O21" s="2"/>
    </row>
    <row r="22" spans="2:15" x14ac:dyDescent="0.25">
      <c r="E22" s="2"/>
      <c r="G22" s="2"/>
      <c r="I22" s="2"/>
      <c r="K22" s="2"/>
      <c r="M22" s="2"/>
      <c r="O22" s="2"/>
    </row>
    <row r="23" spans="2:15" x14ac:dyDescent="0.25">
      <c r="E23" s="2"/>
      <c r="G23" s="2"/>
      <c r="I23" s="2"/>
      <c r="K23" s="2"/>
      <c r="M23" s="2"/>
      <c r="O23" s="2"/>
    </row>
    <row r="24" spans="2:15" x14ac:dyDescent="0.25">
      <c r="E24" s="2"/>
      <c r="G24" s="2"/>
      <c r="I24" s="2"/>
      <c r="K24" s="2"/>
      <c r="M24" s="2"/>
      <c r="O24" s="2"/>
    </row>
    <row r="25" spans="2:15" x14ac:dyDescent="0.25">
      <c r="E25" s="2"/>
      <c r="G25" s="2"/>
      <c r="I25" s="2"/>
      <c r="K25" s="2"/>
      <c r="M25" s="2"/>
      <c r="O25" s="2"/>
    </row>
  </sheetData>
  <pageMargins left="0.7" right="0.7" top="0.75" bottom="0.75" header="0.3" footer="0.3"/>
  <pageSetup orientation="portrait" r:id="rId1"/>
  <ignoredErrors>
    <ignoredError sqref="C3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M23"/>
  <sheetViews>
    <sheetView zoomScale="90" zoomScaleNormal="90" workbookViewId="0">
      <pane xSplit="1" topLeftCell="Y1" activePane="topRight" state="frozen"/>
      <selection pane="topRight" activeCell="Z27" sqref="Z27"/>
    </sheetView>
  </sheetViews>
  <sheetFormatPr defaultRowHeight="15" x14ac:dyDescent="0.25"/>
  <cols>
    <col min="1" max="1" width="17.28515625" bestFit="1" customWidth="1"/>
    <col min="2" max="2" width="11" bestFit="1" customWidth="1"/>
    <col min="3" max="3" width="11.140625" bestFit="1" customWidth="1"/>
    <col min="4" max="4" width="11" bestFit="1" customWidth="1"/>
    <col min="5" max="5" width="11.140625" bestFit="1" customWidth="1"/>
    <col min="6" max="6" width="11" bestFit="1" customWidth="1"/>
    <col min="7" max="7" width="11.140625" bestFit="1" customWidth="1"/>
    <col min="8" max="8" width="11" bestFit="1" customWidth="1"/>
    <col min="9" max="9" width="11.140625" bestFit="1" customWidth="1"/>
    <col min="10" max="10" width="11" bestFit="1" customWidth="1"/>
    <col min="11" max="11" width="11.140625" bestFit="1" customWidth="1"/>
    <col min="12" max="12" width="11" bestFit="1" customWidth="1"/>
    <col min="13" max="13" width="11.140625" bestFit="1" customWidth="1"/>
    <col min="14" max="14" width="11" bestFit="1" customWidth="1"/>
    <col min="15" max="15" width="11.140625" bestFit="1" customWidth="1"/>
    <col min="16" max="16" width="11" bestFit="1" customWidth="1"/>
    <col min="17" max="17" width="11.140625" bestFit="1" customWidth="1"/>
    <col min="18" max="18" width="11" bestFit="1" customWidth="1"/>
    <col min="19" max="19" width="11.140625" bestFit="1" customWidth="1"/>
    <col min="20" max="20" width="11" bestFit="1" customWidth="1"/>
    <col min="21" max="21" width="11.140625" bestFit="1" customWidth="1"/>
    <col min="22" max="22" width="11" bestFit="1" customWidth="1"/>
    <col min="23" max="23" width="8.42578125" bestFit="1" customWidth="1"/>
    <col min="24" max="24" width="11" bestFit="1" customWidth="1"/>
    <col min="25" max="25" width="11.140625" bestFit="1" customWidth="1"/>
    <col min="26" max="26" width="11" bestFit="1" customWidth="1"/>
    <col min="27" max="27" width="11.140625" bestFit="1" customWidth="1"/>
    <col min="28" max="28" width="11" bestFit="1" customWidth="1"/>
    <col min="29" max="29" width="11.140625" bestFit="1" customWidth="1"/>
    <col min="30" max="30" width="11" bestFit="1" customWidth="1"/>
    <col min="31" max="31" width="11.140625" bestFit="1" customWidth="1"/>
    <col min="32" max="32" width="11" bestFit="1" customWidth="1"/>
    <col min="33" max="33" width="11.5703125" bestFit="1" customWidth="1"/>
    <col min="34" max="34" width="11" bestFit="1" customWidth="1"/>
    <col min="35" max="35" width="11.140625" bestFit="1" customWidth="1"/>
    <col min="36" max="36" width="11" bestFit="1" customWidth="1"/>
    <col min="37" max="37" width="11.140625" bestFit="1" customWidth="1"/>
    <col min="38" max="38" width="11" bestFit="1" customWidth="1"/>
    <col min="39" max="39" width="11.5703125" bestFit="1" customWidth="1"/>
    <col min="40" max="40" width="11" bestFit="1" customWidth="1"/>
    <col min="41" max="41" width="11.5703125" bestFit="1" customWidth="1"/>
    <col min="42" max="42" width="11" bestFit="1" customWidth="1"/>
    <col min="43" max="43" width="11.5703125" bestFit="1" customWidth="1"/>
    <col min="44" max="44" width="11" bestFit="1" customWidth="1"/>
    <col min="45" max="45" width="11.5703125" bestFit="1" customWidth="1"/>
    <col min="46" max="46" width="11" bestFit="1" customWidth="1"/>
    <col min="47" max="47" width="11.140625" bestFit="1" customWidth="1"/>
    <col min="48" max="48" width="11" bestFit="1" customWidth="1"/>
    <col min="49" max="49" width="11.5703125" bestFit="1" customWidth="1"/>
    <col min="50" max="50" width="11" bestFit="1" customWidth="1"/>
    <col min="51" max="51" width="11.5703125" bestFit="1" customWidth="1"/>
    <col min="52" max="52" width="11" bestFit="1" customWidth="1"/>
    <col min="53" max="53" width="11.5703125" bestFit="1" customWidth="1"/>
    <col min="54" max="54" width="11" bestFit="1" customWidth="1"/>
    <col min="55" max="55" width="11.140625" bestFit="1" customWidth="1"/>
    <col min="56" max="56" width="11" bestFit="1" customWidth="1"/>
    <col min="57" max="57" width="11.140625" bestFit="1" customWidth="1"/>
    <col min="58" max="58" width="11" bestFit="1" customWidth="1"/>
    <col min="59" max="59" width="11.140625" bestFit="1" customWidth="1"/>
    <col min="60" max="60" width="11" bestFit="1" customWidth="1"/>
    <col min="61" max="61" width="5.28515625" bestFit="1" customWidth="1"/>
    <col min="62" max="62" width="11" bestFit="1" customWidth="1"/>
    <col min="63" max="63" width="5.28515625" bestFit="1" customWidth="1"/>
    <col min="64" max="64" width="11" bestFit="1" customWidth="1"/>
    <col min="65" max="65" width="7.28515625" bestFit="1" customWidth="1"/>
  </cols>
  <sheetData>
    <row r="1" spans="1:65" x14ac:dyDescent="0.25">
      <c r="A1" s="54"/>
      <c r="B1" s="89" t="s">
        <v>116</v>
      </c>
      <c r="C1" s="90"/>
      <c r="D1" s="85" t="s">
        <v>47</v>
      </c>
      <c r="E1" s="90"/>
      <c r="F1" s="85" t="s">
        <v>89</v>
      </c>
      <c r="G1" s="90"/>
      <c r="H1" s="85"/>
      <c r="I1" s="90"/>
      <c r="J1" s="85" t="s">
        <v>94</v>
      </c>
      <c r="K1" s="90"/>
      <c r="L1" s="85" t="s">
        <v>125</v>
      </c>
      <c r="M1" s="90"/>
      <c r="N1" s="85" t="s">
        <v>102</v>
      </c>
      <c r="O1" s="90"/>
      <c r="P1" s="85" t="s">
        <v>87</v>
      </c>
      <c r="Q1" s="90"/>
      <c r="R1" s="85" t="s">
        <v>88</v>
      </c>
      <c r="S1" s="90"/>
      <c r="T1" s="85" t="s">
        <v>93</v>
      </c>
      <c r="U1" s="90"/>
      <c r="V1" s="85" t="s">
        <v>194</v>
      </c>
      <c r="W1" s="90"/>
      <c r="X1" s="85" t="s">
        <v>111</v>
      </c>
      <c r="Y1" s="90"/>
      <c r="Z1" s="85" t="s">
        <v>91</v>
      </c>
      <c r="AA1" s="90"/>
      <c r="AB1" s="85" t="s">
        <v>92</v>
      </c>
      <c r="AC1" s="90"/>
      <c r="AD1" s="85" t="s">
        <v>124</v>
      </c>
      <c r="AE1" s="90"/>
      <c r="AF1" s="85" t="s">
        <v>95</v>
      </c>
      <c r="AG1" s="90"/>
      <c r="AH1" s="85" t="s">
        <v>96</v>
      </c>
      <c r="AI1" s="90"/>
      <c r="AJ1" s="85" t="s">
        <v>98</v>
      </c>
      <c r="AK1" s="90"/>
      <c r="AL1" s="85" t="s">
        <v>115</v>
      </c>
      <c r="AM1" s="90"/>
      <c r="AN1" s="85" t="s">
        <v>108</v>
      </c>
      <c r="AO1" s="90"/>
      <c r="AP1" s="85" t="s">
        <v>107</v>
      </c>
      <c r="AQ1" s="90"/>
      <c r="AR1" s="85" t="s">
        <v>215</v>
      </c>
      <c r="AS1" s="90"/>
      <c r="AT1" s="85" t="s">
        <v>196</v>
      </c>
      <c r="AU1" s="90"/>
      <c r="AV1" s="85" t="s">
        <v>200</v>
      </c>
      <c r="AW1" s="90"/>
      <c r="AX1" s="85" t="s">
        <v>129</v>
      </c>
      <c r="AY1" s="90"/>
      <c r="AZ1" s="85" t="s">
        <v>120</v>
      </c>
      <c r="BA1" s="90"/>
      <c r="BB1" s="85" t="s">
        <v>152</v>
      </c>
      <c r="BC1" s="90"/>
      <c r="BD1" s="85" t="s">
        <v>153</v>
      </c>
      <c r="BE1" s="90"/>
      <c r="BF1" s="85" t="s">
        <v>154</v>
      </c>
      <c r="BG1" s="90"/>
      <c r="BH1" s="85" t="s">
        <v>105</v>
      </c>
      <c r="BI1" s="90"/>
      <c r="BJ1" s="85" t="s">
        <v>205</v>
      </c>
      <c r="BK1" s="90"/>
      <c r="BL1" s="85" t="s">
        <v>109</v>
      </c>
      <c r="BM1" s="90"/>
    </row>
    <row r="2" spans="1:65" x14ac:dyDescent="0.25">
      <c r="A2" s="50" t="s">
        <v>40</v>
      </c>
      <c r="B2" s="91"/>
      <c r="C2" s="92">
        <f>B2*10</f>
        <v>0</v>
      </c>
      <c r="D2" s="93"/>
      <c r="E2" s="92">
        <f>D2*10</f>
        <v>0</v>
      </c>
      <c r="F2" s="93"/>
      <c r="G2" s="92">
        <f>F2*10</f>
        <v>0</v>
      </c>
      <c r="H2" s="93"/>
      <c r="I2" s="92">
        <f>H2*10</f>
        <v>0</v>
      </c>
      <c r="J2" s="93"/>
      <c r="K2" s="92">
        <f>J2*10</f>
        <v>0</v>
      </c>
      <c r="L2" s="93"/>
      <c r="M2" s="92">
        <f>L2*10</f>
        <v>0</v>
      </c>
      <c r="N2" s="93"/>
      <c r="O2" s="92">
        <f>N2*10</f>
        <v>0</v>
      </c>
      <c r="P2" s="93"/>
      <c r="Q2" s="92">
        <f>P2*10</f>
        <v>0</v>
      </c>
      <c r="R2" s="93"/>
      <c r="S2" s="92">
        <f>R2*10</f>
        <v>0</v>
      </c>
      <c r="T2" s="93"/>
      <c r="U2" s="92">
        <f>T2*10</f>
        <v>0</v>
      </c>
      <c r="V2" s="93"/>
      <c r="W2" s="92">
        <f>V2*10</f>
        <v>0</v>
      </c>
      <c r="X2" s="93"/>
      <c r="Y2" s="92">
        <f>X2*10</f>
        <v>0</v>
      </c>
      <c r="Z2" s="93"/>
      <c r="AA2" s="92">
        <f>Z2*10</f>
        <v>0</v>
      </c>
      <c r="AB2" s="93"/>
      <c r="AC2" s="92">
        <f>AB2*10</f>
        <v>0</v>
      </c>
      <c r="AD2" s="93"/>
      <c r="AE2" s="92">
        <f>AD2*10</f>
        <v>0</v>
      </c>
      <c r="AF2" s="93"/>
      <c r="AG2" s="92">
        <f>AF2*10</f>
        <v>0</v>
      </c>
      <c r="AH2" s="93"/>
      <c r="AI2" s="92">
        <f>AH2*10</f>
        <v>0</v>
      </c>
      <c r="AJ2" s="93"/>
      <c r="AK2" s="92">
        <f>AJ2*10</f>
        <v>0</v>
      </c>
      <c r="AL2" s="93"/>
      <c r="AM2" s="92">
        <f>AL2*10</f>
        <v>0</v>
      </c>
      <c r="AN2" s="93"/>
      <c r="AO2" s="92">
        <f>AN2*10</f>
        <v>0</v>
      </c>
      <c r="AP2" s="93"/>
      <c r="AQ2" s="92">
        <f>AP2*10</f>
        <v>0</v>
      </c>
      <c r="AR2" s="93"/>
      <c r="AS2" s="92">
        <f>AR2*10</f>
        <v>0</v>
      </c>
      <c r="AT2" s="93"/>
      <c r="AU2" s="92">
        <f>AT2*10</f>
        <v>0</v>
      </c>
      <c r="AV2" s="93"/>
      <c r="AW2" s="92">
        <f>AV2*10</f>
        <v>0</v>
      </c>
      <c r="AX2" s="93"/>
      <c r="AY2" s="92">
        <f>AX2*10</f>
        <v>0</v>
      </c>
      <c r="AZ2" s="93"/>
      <c r="BA2" s="92">
        <f>AZ2*10</f>
        <v>0</v>
      </c>
      <c r="BB2" s="93"/>
      <c r="BC2" s="92">
        <f>BB2*10</f>
        <v>0</v>
      </c>
      <c r="BD2" s="93"/>
      <c r="BE2" s="92">
        <f>BD2*10</f>
        <v>0</v>
      </c>
      <c r="BF2" s="93"/>
      <c r="BG2" s="92">
        <f>BF2*10</f>
        <v>0</v>
      </c>
      <c r="BH2" s="93"/>
      <c r="BI2" s="92">
        <f>BH2*10</f>
        <v>0</v>
      </c>
      <c r="BJ2" s="93"/>
      <c r="BK2" s="92">
        <f>BJ2*10</f>
        <v>0</v>
      </c>
      <c r="BL2" s="93"/>
      <c r="BM2" s="92">
        <f>BL2*10</f>
        <v>0</v>
      </c>
    </row>
    <row r="3" spans="1:65" x14ac:dyDescent="0.25">
      <c r="A3" s="50" t="s">
        <v>41</v>
      </c>
      <c r="B3" s="91"/>
      <c r="C3" s="92">
        <f>B3*60</f>
        <v>0</v>
      </c>
      <c r="D3" s="93"/>
      <c r="E3" s="92">
        <f>D3*60</f>
        <v>0</v>
      </c>
      <c r="F3" s="93"/>
      <c r="G3" s="92">
        <f>F3*60</f>
        <v>0</v>
      </c>
      <c r="H3" s="93"/>
      <c r="I3" s="92">
        <f>H3*60</f>
        <v>0</v>
      </c>
      <c r="J3" s="93"/>
      <c r="K3" s="92">
        <f>J3*60</f>
        <v>0</v>
      </c>
      <c r="L3" s="93"/>
      <c r="M3" s="92">
        <f>L3*60</f>
        <v>0</v>
      </c>
      <c r="N3" s="93"/>
      <c r="O3" s="92">
        <f>N3*60</f>
        <v>0</v>
      </c>
      <c r="P3" s="93"/>
      <c r="Q3" s="92">
        <f>P3*60</f>
        <v>0</v>
      </c>
      <c r="R3" s="93"/>
      <c r="S3" s="92">
        <f>R3*60</f>
        <v>0</v>
      </c>
      <c r="T3" s="93"/>
      <c r="U3" s="92">
        <f>T3*60</f>
        <v>0</v>
      </c>
      <c r="V3" s="93"/>
      <c r="W3" s="92">
        <f>V3*60</f>
        <v>0</v>
      </c>
      <c r="X3" s="93"/>
      <c r="Y3" s="92">
        <f>X3*60</f>
        <v>0</v>
      </c>
      <c r="Z3" s="93"/>
      <c r="AA3" s="92">
        <f>Z3*60</f>
        <v>0</v>
      </c>
      <c r="AB3" s="93"/>
      <c r="AC3" s="92">
        <f>AB3*60</f>
        <v>0</v>
      </c>
      <c r="AD3" s="93"/>
      <c r="AE3" s="92">
        <f>AD3*60</f>
        <v>0</v>
      </c>
      <c r="AF3" s="93"/>
      <c r="AG3" s="92">
        <f>AF3*60</f>
        <v>0</v>
      </c>
      <c r="AH3" s="93"/>
      <c r="AI3" s="92">
        <f>AH3*60</f>
        <v>0</v>
      </c>
      <c r="AJ3" s="93"/>
      <c r="AK3" s="92">
        <f>AJ3*60</f>
        <v>0</v>
      </c>
      <c r="AL3" s="93"/>
      <c r="AM3" s="92">
        <f>AL3*60</f>
        <v>0</v>
      </c>
      <c r="AN3" s="93"/>
      <c r="AO3" s="92">
        <f>AN3*60</f>
        <v>0</v>
      </c>
      <c r="AP3" s="93"/>
      <c r="AQ3" s="92">
        <f>AP3*60</f>
        <v>0</v>
      </c>
      <c r="AR3" s="93"/>
      <c r="AS3" s="92">
        <f>AR3*60</f>
        <v>0</v>
      </c>
      <c r="AT3" s="93"/>
      <c r="AU3" s="92">
        <f>AT3*60</f>
        <v>0</v>
      </c>
      <c r="AV3" s="93"/>
      <c r="AW3" s="92">
        <f>AV3*60</f>
        <v>0</v>
      </c>
      <c r="AX3" s="93"/>
      <c r="AY3" s="92">
        <f>AX3*60</f>
        <v>0</v>
      </c>
      <c r="AZ3" s="93"/>
      <c r="BA3" s="92">
        <f>AZ3*60</f>
        <v>0</v>
      </c>
      <c r="BB3" s="93"/>
      <c r="BC3" s="92">
        <f>BB3*60</f>
        <v>0</v>
      </c>
      <c r="BD3" s="93"/>
      <c r="BE3" s="92">
        <f>BD3*60</f>
        <v>0</v>
      </c>
      <c r="BF3" s="93"/>
      <c r="BG3" s="92">
        <f>BF3*60</f>
        <v>0</v>
      </c>
      <c r="BH3" s="93"/>
      <c r="BI3" s="92">
        <f>BH3*60</f>
        <v>0</v>
      </c>
      <c r="BJ3" s="93"/>
      <c r="BK3" s="92">
        <f>BJ3*60</f>
        <v>0</v>
      </c>
      <c r="BL3" s="93"/>
      <c r="BM3" s="92">
        <f>BL3*60</f>
        <v>0</v>
      </c>
    </row>
    <row r="4" spans="1:65" x14ac:dyDescent="0.25">
      <c r="A4" s="50" t="s">
        <v>48</v>
      </c>
      <c r="C4" s="92">
        <f>B4*40</f>
        <v>0</v>
      </c>
      <c r="D4" s="17"/>
      <c r="E4" s="92">
        <f>D4*40</f>
        <v>0</v>
      </c>
      <c r="F4" s="17"/>
      <c r="G4" s="92">
        <f t="shared" ref="G4" si="0">F4*40</f>
        <v>0</v>
      </c>
      <c r="H4" s="17"/>
      <c r="I4" s="92">
        <f t="shared" ref="I4" si="1">H4*40</f>
        <v>0</v>
      </c>
      <c r="J4" s="17"/>
      <c r="K4" s="92">
        <f t="shared" ref="K4" si="2">J4*40</f>
        <v>0</v>
      </c>
      <c r="L4" s="17"/>
      <c r="M4" s="92">
        <f t="shared" ref="M4" si="3">L4*40</f>
        <v>0</v>
      </c>
      <c r="N4" s="17"/>
      <c r="O4" s="92">
        <f>N4*40</f>
        <v>0</v>
      </c>
      <c r="P4" s="17"/>
      <c r="Q4" s="92">
        <f t="shared" ref="Q4" si="4">P4*40</f>
        <v>0</v>
      </c>
      <c r="R4" s="17"/>
      <c r="S4" s="92">
        <f t="shared" ref="S4" si="5">R4*40</f>
        <v>0</v>
      </c>
      <c r="T4" s="17"/>
      <c r="U4" s="92">
        <f t="shared" ref="U4" si="6">T4*40</f>
        <v>0</v>
      </c>
      <c r="V4" s="17"/>
      <c r="W4" s="92">
        <f t="shared" ref="W4" si="7">V4*40</f>
        <v>0</v>
      </c>
      <c r="X4" s="17"/>
      <c r="Y4" s="92">
        <f t="shared" ref="Y4" si="8">X4*40</f>
        <v>0</v>
      </c>
      <c r="Z4" s="17"/>
      <c r="AA4" s="92">
        <f t="shared" ref="AA4" si="9">Z4*40</f>
        <v>0</v>
      </c>
      <c r="AB4" s="17"/>
      <c r="AC4" s="92">
        <f t="shared" ref="AC4" si="10">AB4*40</f>
        <v>0</v>
      </c>
      <c r="AD4" s="17"/>
      <c r="AE4" s="92">
        <f t="shared" ref="AE4" si="11">AD4*40</f>
        <v>0</v>
      </c>
      <c r="AF4" s="17"/>
      <c r="AG4" s="92">
        <f t="shared" ref="AG4" si="12">AF4*40</f>
        <v>0</v>
      </c>
      <c r="AH4" s="17"/>
      <c r="AI4" s="92">
        <f t="shared" ref="AI4" si="13">AH4*40</f>
        <v>0</v>
      </c>
      <c r="AJ4" s="17"/>
      <c r="AK4" s="92">
        <f t="shared" ref="AK4" si="14">AJ4*40</f>
        <v>0</v>
      </c>
      <c r="AL4" s="17"/>
      <c r="AM4" s="92">
        <f t="shared" ref="AM4:AS4" si="15">AL4*40</f>
        <v>0</v>
      </c>
      <c r="AN4" s="17"/>
      <c r="AO4" s="92">
        <f t="shared" si="15"/>
        <v>0</v>
      </c>
      <c r="AP4" s="17"/>
      <c r="AQ4" s="92">
        <f t="shared" si="15"/>
        <v>0</v>
      </c>
      <c r="AR4" s="17"/>
      <c r="AS4" s="92">
        <f t="shared" si="15"/>
        <v>0</v>
      </c>
      <c r="AT4" s="17"/>
      <c r="AU4" s="92">
        <f t="shared" ref="AU4:AW4" si="16">AT4*40</f>
        <v>0</v>
      </c>
      <c r="AV4" s="17"/>
      <c r="AW4" s="92">
        <f t="shared" si="16"/>
        <v>0</v>
      </c>
      <c r="AX4" s="17"/>
      <c r="AY4" s="92">
        <f t="shared" ref="AY4:BA4" si="17">AX4*40</f>
        <v>0</v>
      </c>
      <c r="AZ4" s="17"/>
      <c r="BA4" s="92">
        <f t="shared" si="17"/>
        <v>0</v>
      </c>
      <c r="BB4" s="17"/>
      <c r="BC4" s="92">
        <f t="shared" ref="BC4" si="18">BB4*40</f>
        <v>0</v>
      </c>
      <c r="BD4" s="17"/>
      <c r="BE4" s="92">
        <f t="shared" ref="BE4" si="19">BD4*40</f>
        <v>0</v>
      </c>
      <c r="BF4" s="17"/>
      <c r="BG4" s="92">
        <f t="shared" ref="BG4" si="20">BF4*40</f>
        <v>0</v>
      </c>
      <c r="BH4" s="17"/>
      <c r="BI4" s="92">
        <f>BH4*40</f>
        <v>0</v>
      </c>
      <c r="BJ4" s="17"/>
      <c r="BK4" s="92">
        <f t="shared" ref="BK4" si="21">BJ4*40</f>
        <v>0</v>
      </c>
      <c r="BL4" s="17"/>
      <c r="BM4" s="92">
        <f>BL4*40</f>
        <v>0</v>
      </c>
    </row>
    <row r="5" spans="1:65" x14ac:dyDescent="0.25">
      <c r="A5" s="50" t="s">
        <v>42</v>
      </c>
      <c r="C5" s="92">
        <f>B5*100</f>
        <v>0</v>
      </c>
      <c r="D5" s="17"/>
      <c r="E5" s="92">
        <f>D5*100</f>
        <v>0</v>
      </c>
      <c r="F5" s="17"/>
      <c r="G5" s="92">
        <f>F5*100</f>
        <v>0</v>
      </c>
      <c r="H5" s="17"/>
      <c r="I5" s="92">
        <f>H5*100</f>
        <v>0</v>
      </c>
      <c r="J5" s="17"/>
      <c r="K5" s="92">
        <f>J5*100</f>
        <v>0</v>
      </c>
      <c r="L5" s="17"/>
      <c r="M5" s="92">
        <f>L5*100</f>
        <v>0</v>
      </c>
      <c r="N5" s="17"/>
      <c r="O5" s="92">
        <f>N5*100</f>
        <v>0</v>
      </c>
      <c r="P5" s="17"/>
      <c r="Q5" s="92">
        <f>P5*100</f>
        <v>0</v>
      </c>
      <c r="R5" s="17"/>
      <c r="S5" s="92">
        <f>R5*100</f>
        <v>0</v>
      </c>
      <c r="T5" s="17"/>
      <c r="U5" s="92">
        <f>T5*100</f>
        <v>0</v>
      </c>
      <c r="V5" s="17"/>
      <c r="W5" s="92">
        <f>V5*100</f>
        <v>0</v>
      </c>
      <c r="X5" s="17"/>
      <c r="Y5" s="92">
        <f>X5*100</f>
        <v>0</v>
      </c>
      <c r="Z5" s="17"/>
      <c r="AA5" s="92">
        <f>Z5*100</f>
        <v>0</v>
      </c>
      <c r="AB5" s="17"/>
      <c r="AC5" s="92">
        <f>AB5*100</f>
        <v>0</v>
      </c>
      <c r="AD5" s="17"/>
      <c r="AE5" s="92">
        <f>AD5*100</f>
        <v>0</v>
      </c>
      <c r="AF5" s="17"/>
      <c r="AG5" s="92">
        <f>AF5*100</f>
        <v>0</v>
      </c>
      <c r="AH5" s="17"/>
      <c r="AI5" s="92">
        <f>AH5*100</f>
        <v>0</v>
      </c>
      <c r="AJ5" s="17"/>
      <c r="AK5" s="92">
        <f>AJ5*100</f>
        <v>0</v>
      </c>
      <c r="AL5" s="17"/>
      <c r="AM5" s="92">
        <f>AL5*100</f>
        <v>0</v>
      </c>
      <c r="AN5" s="17"/>
      <c r="AO5" s="92">
        <f>AN5*100</f>
        <v>0</v>
      </c>
      <c r="AP5" s="17"/>
      <c r="AQ5" s="92">
        <f>AP5*100</f>
        <v>0</v>
      </c>
      <c r="AR5" s="17"/>
      <c r="AS5" s="92">
        <f>AR5*100</f>
        <v>0</v>
      </c>
      <c r="AT5" s="17"/>
      <c r="AU5" s="92">
        <f>AT5*100</f>
        <v>0</v>
      </c>
      <c r="AV5" s="17"/>
      <c r="AW5" s="92">
        <f>AV5*100</f>
        <v>0</v>
      </c>
      <c r="AX5" s="17"/>
      <c r="AY5" s="92">
        <f>AX5*100</f>
        <v>0</v>
      </c>
      <c r="AZ5" s="17"/>
      <c r="BA5" s="92">
        <f>AZ5*100</f>
        <v>0</v>
      </c>
      <c r="BB5" s="17"/>
      <c r="BC5" s="92">
        <f>BB5*100</f>
        <v>0</v>
      </c>
      <c r="BD5" s="17"/>
      <c r="BE5" s="92">
        <f>BD5*100</f>
        <v>0</v>
      </c>
      <c r="BF5" s="17"/>
      <c r="BG5" s="92">
        <f>BF5*100</f>
        <v>0</v>
      </c>
      <c r="BH5" s="17"/>
      <c r="BI5" s="92">
        <f>BH5*100</f>
        <v>0</v>
      </c>
      <c r="BJ5" s="17"/>
      <c r="BK5" s="92">
        <f>BJ5*100</f>
        <v>0</v>
      </c>
      <c r="BL5" s="17"/>
      <c r="BM5" s="92">
        <f>BL5*100</f>
        <v>0</v>
      </c>
    </row>
    <row r="6" spans="1:65" x14ac:dyDescent="0.25">
      <c r="A6" s="50" t="s">
        <v>44</v>
      </c>
      <c r="C6" s="92">
        <f>B6*500</f>
        <v>0</v>
      </c>
      <c r="D6" s="17"/>
      <c r="E6" s="92">
        <f>D6*500</f>
        <v>0</v>
      </c>
      <c r="F6" s="17"/>
      <c r="G6" s="92">
        <f>F6*500</f>
        <v>0</v>
      </c>
      <c r="H6" s="17"/>
      <c r="I6" s="92">
        <f>H6*500</f>
        <v>0</v>
      </c>
      <c r="J6" s="17"/>
      <c r="K6" s="92">
        <f>J6*500</f>
        <v>0</v>
      </c>
      <c r="L6" s="17"/>
      <c r="M6" s="92">
        <f>L6*500</f>
        <v>0</v>
      </c>
      <c r="N6" s="17"/>
      <c r="O6" s="92">
        <f>N6*500</f>
        <v>0</v>
      </c>
      <c r="P6" s="17"/>
      <c r="Q6" s="92">
        <f>P6*500</f>
        <v>0</v>
      </c>
      <c r="R6" s="17"/>
      <c r="S6" s="92">
        <f>R6*500</f>
        <v>0</v>
      </c>
      <c r="T6" s="17"/>
      <c r="U6" s="92">
        <f>T6*500</f>
        <v>0</v>
      </c>
      <c r="V6" s="17"/>
      <c r="W6" s="92">
        <f>V6*500</f>
        <v>0</v>
      </c>
      <c r="X6" s="17"/>
      <c r="Y6" s="92">
        <f>X6*500</f>
        <v>0</v>
      </c>
      <c r="Z6" s="17"/>
      <c r="AA6" s="92">
        <f>Z6*500</f>
        <v>0</v>
      </c>
      <c r="AB6" s="17"/>
      <c r="AC6" s="92">
        <f>AB6*500</f>
        <v>0</v>
      </c>
      <c r="AD6" s="17"/>
      <c r="AE6" s="92">
        <f>AD6*500</f>
        <v>0</v>
      </c>
      <c r="AF6" s="17"/>
      <c r="AG6" s="92">
        <f>AF6*500</f>
        <v>0</v>
      </c>
      <c r="AH6" s="17"/>
      <c r="AI6" s="92">
        <f>AH6*500</f>
        <v>0</v>
      </c>
      <c r="AJ6" s="17"/>
      <c r="AK6" s="92">
        <f>AJ6*500</f>
        <v>0</v>
      </c>
      <c r="AL6" s="17"/>
      <c r="AM6" s="92">
        <f>AL6*500</f>
        <v>0</v>
      </c>
      <c r="AN6" s="17"/>
      <c r="AO6" s="92">
        <f>AN6*500</f>
        <v>0</v>
      </c>
      <c r="AP6" s="17"/>
      <c r="AQ6" s="92">
        <f>AP6*500</f>
        <v>0</v>
      </c>
      <c r="AR6" s="17"/>
      <c r="AS6" s="92">
        <f>AR6*500</f>
        <v>0</v>
      </c>
      <c r="AT6" s="17"/>
      <c r="AU6" s="92">
        <f>AT6*500</f>
        <v>0</v>
      </c>
      <c r="AV6" s="17"/>
      <c r="AW6" s="92">
        <f>AV6*500</f>
        <v>0</v>
      </c>
      <c r="AX6" s="17"/>
      <c r="AY6" s="92">
        <f>AX6*500</f>
        <v>0</v>
      </c>
      <c r="AZ6" s="17"/>
      <c r="BA6" s="92">
        <f>AZ6*500</f>
        <v>0</v>
      </c>
      <c r="BB6" s="17"/>
      <c r="BC6" s="92">
        <f>BB6*500</f>
        <v>0</v>
      </c>
      <c r="BD6" s="17"/>
      <c r="BE6" s="92">
        <f>BD6*500</f>
        <v>0</v>
      </c>
      <c r="BF6" s="17"/>
      <c r="BG6" s="92">
        <f>BF6*500</f>
        <v>0</v>
      </c>
      <c r="BH6" s="17"/>
      <c r="BI6" s="92">
        <f>BH6*500</f>
        <v>0</v>
      </c>
      <c r="BJ6" s="17"/>
      <c r="BK6" s="92">
        <f>BJ6*500</f>
        <v>0</v>
      </c>
      <c r="BL6" s="17"/>
      <c r="BM6" s="92">
        <f>BL6*500</f>
        <v>0</v>
      </c>
    </row>
    <row r="7" spans="1:65" x14ac:dyDescent="0.25">
      <c r="A7" s="50" t="s">
        <v>86</v>
      </c>
      <c r="C7" s="92">
        <f>B7*200</f>
        <v>0</v>
      </c>
      <c r="D7" s="17"/>
      <c r="E7" s="92">
        <f t="shared" ref="E7" si="22">D7*200</f>
        <v>0</v>
      </c>
      <c r="F7" s="17"/>
      <c r="G7" s="92">
        <f t="shared" ref="G7" si="23">F7*200</f>
        <v>0</v>
      </c>
      <c r="H7" s="17"/>
      <c r="I7" s="92">
        <f t="shared" ref="I7" si="24">H7*200</f>
        <v>0</v>
      </c>
      <c r="J7" s="17"/>
      <c r="K7" s="92">
        <f t="shared" ref="K7" si="25">J7*200</f>
        <v>0</v>
      </c>
      <c r="L7" s="17"/>
      <c r="M7" s="92">
        <f t="shared" ref="M7" si="26">L7*200</f>
        <v>0</v>
      </c>
      <c r="N7" s="17"/>
      <c r="O7" s="92">
        <f t="shared" ref="O7" si="27">N7*200</f>
        <v>0</v>
      </c>
      <c r="P7" s="17"/>
      <c r="Q7" s="92">
        <f t="shared" ref="Q7" si="28">P7*200</f>
        <v>0</v>
      </c>
      <c r="R7" s="17"/>
      <c r="S7" s="92">
        <f t="shared" ref="S7" si="29">R7*200</f>
        <v>0</v>
      </c>
      <c r="T7" s="17"/>
      <c r="U7" s="92">
        <f t="shared" ref="U7" si="30">T7*200</f>
        <v>0</v>
      </c>
      <c r="V7" s="17"/>
      <c r="W7" s="92">
        <f t="shared" ref="W7" si="31">V7*200</f>
        <v>0</v>
      </c>
      <c r="X7" s="17"/>
      <c r="Y7" s="92">
        <f t="shared" ref="Y7" si="32">X7*200</f>
        <v>0</v>
      </c>
      <c r="Z7" s="17"/>
      <c r="AA7" s="92">
        <f t="shared" ref="AA7" si="33">Z7*200</f>
        <v>0</v>
      </c>
      <c r="AB7" s="17"/>
      <c r="AC7" s="92">
        <f t="shared" ref="AC7" si="34">AB7*200</f>
        <v>0</v>
      </c>
      <c r="AD7" s="17"/>
      <c r="AE7" s="92">
        <f t="shared" ref="AE7" si="35">AD7*200</f>
        <v>0</v>
      </c>
      <c r="AF7" s="17"/>
      <c r="AG7" s="92">
        <f t="shared" ref="AG7" si="36">AF7*200</f>
        <v>0</v>
      </c>
      <c r="AH7" s="17"/>
      <c r="AI7" s="92">
        <f t="shared" ref="AI7" si="37">AH7*200</f>
        <v>0</v>
      </c>
      <c r="AJ7" s="17"/>
      <c r="AK7" s="92">
        <f t="shared" ref="AK7" si="38">AJ7*200</f>
        <v>0</v>
      </c>
      <c r="AL7" s="17"/>
      <c r="AM7" s="92">
        <f t="shared" ref="AM7" si="39">AL7*200</f>
        <v>0</v>
      </c>
      <c r="AN7" s="17"/>
      <c r="AO7" s="92">
        <f t="shared" ref="AO7" si="40">AN7*200</f>
        <v>0</v>
      </c>
      <c r="AP7" s="17"/>
      <c r="AQ7" s="92">
        <f t="shared" ref="AQ7" si="41">AP7*200</f>
        <v>0</v>
      </c>
      <c r="AR7" s="17"/>
      <c r="AS7" s="92">
        <f t="shared" ref="AS7" si="42">AR7*200</f>
        <v>0</v>
      </c>
      <c r="AT7" s="17"/>
      <c r="AU7" s="92">
        <f t="shared" ref="AU7" si="43">AT7*200</f>
        <v>0</v>
      </c>
      <c r="AV7" s="17"/>
      <c r="AW7" s="92">
        <f t="shared" ref="AW7" si="44">AV7*200</f>
        <v>0</v>
      </c>
      <c r="AX7" s="17"/>
      <c r="AY7" s="92">
        <f t="shared" ref="AY7" si="45">AX7*200</f>
        <v>0</v>
      </c>
      <c r="AZ7" s="17"/>
      <c r="BA7" s="92">
        <f t="shared" ref="BA7" si="46">AZ7*200</f>
        <v>0</v>
      </c>
      <c r="BB7" s="17"/>
      <c r="BC7" s="92">
        <f t="shared" ref="BC7" si="47">BB7*200</f>
        <v>0</v>
      </c>
      <c r="BD7" s="17"/>
      <c r="BE7" s="92">
        <f t="shared" ref="BE7" si="48">BD7*200</f>
        <v>0</v>
      </c>
      <c r="BF7" s="17"/>
      <c r="BG7" s="92">
        <f t="shared" ref="BG7" si="49">BF7*200</f>
        <v>0</v>
      </c>
      <c r="BH7" s="17"/>
      <c r="BI7" s="92">
        <f t="shared" ref="BI7" si="50">BH7*200</f>
        <v>0</v>
      </c>
      <c r="BJ7" s="17"/>
      <c r="BK7" s="92">
        <f t="shared" ref="BK7" si="51">BJ7*200</f>
        <v>0</v>
      </c>
      <c r="BL7" s="17"/>
      <c r="BM7" s="92">
        <f t="shared" ref="BM7" si="52">BL7*200</f>
        <v>0</v>
      </c>
    </row>
    <row r="8" spans="1:65" x14ac:dyDescent="0.25">
      <c r="A8" s="50" t="s">
        <v>110</v>
      </c>
      <c r="C8" s="92">
        <f>B8*70</f>
        <v>0</v>
      </c>
      <c r="D8" s="17"/>
      <c r="E8" s="92">
        <f t="shared" ref="E8" si="53">D8*70</f>
        <v>0</v>
      </c>
      <c r="F8" s="17"/>
      <c r="G8" s="92">
        <f t="shared" ref="G8" si="54">F8*70</f>
        <v>0</v>
      </c>
      <c r="H8" s="17"/>
      <c r="I8" s="92">
        <f t="shared" ref="I8" si="55">H8*70</f>
        <v>0</v>
      </c>
      <c r="J8" s="17"/>
      <c r="K8" s="92">
        <f>J8*70</f>
        <v>0</v>
      </c>
      <c r="L8" s="17"/>
      <c r="M8" s="92">
        <f>L8*70</f>
        <v>0</v>
      </c>
      <c r="N8" s="17"/>
      <c r="O8" s="92">
        <f>N8*70</f>
        <v>0</v>
      </c>
      <c r="P8" s="17"/>
      <c r="Q8" s="92">
        <f t="shared" ref="Q8" si="56">P8*70</f>
        <v>0</v>
      </c>
      <c r="R8" s="17"/>
      <c r="S8" s="92">
        <f t="shared" ref="S8" si="57">R8*70</f>
        <v>0</v>
      </c>
      <c r="T8" s="17"/>
      <c r="U8" s="92">
        <f t="shared" ref="U8" si="58">T8*70</f>
        <v>0</v>
      </c>
      <c r="V8" s="17"/>
      <c r="W8" s="92">
        <f t="shared" ref="W8" si="59">V8*70</f>
        <v>0</v>
      </c>
      <c r="X8" s="17"/>
      <c r="Y8" s="92">
        <f t="shared" ref="Y8" si="60">X8*70</f>
        <v>0</v>
      </c>
      <c r="Z8" s="17"/>
      <c r="AA8" s="92">
        <f t="shared" ref="AA8" si="61">Z8*70</f>
        <v>0</v>
      </c>
      <c r="AB8" s="17"/>
      <c r="AC8" s="92">
        <f t="shared" ref="AC8" si="62">AB8*70</f>
        <v>0</v>
      </c>
      <c r="AD8" s="17"/>
      <c r="AE8" s="92">
        <f t="shared" ref="AE8" si="63">AD8*70</f>
        <v>0</v>
      </c>
      <c r="AF8" s="17"/>
      <c r="AG8" s="92">
        <f t="shared" ref="AG8:AO8" si="64">AF8*70</f>
        <v>0</v>
      </c>
      <c r="AH8" s="17"/>
      <c r="AI8" s="92">
        <f t="shared" si="64"/>
        <v>0</v>
      </c>
      <c r="AJ8" s="17"/>
      <c r="AK8" s="92">
        <f t="shared" si="64"/>
        <v>0</v>
      </c>
      <c r="AL8" s="17"/>
      <c r="AM8" s="92">
        <f t="shared" si="64"/>
        <v>0</v>
      </c>
      <c r="AN8" s="17"/>
      <c r="AO8" s="92">
        <f t="shared" si="64"/>
        <v>0</v>
      </c>
      <c r="AP8" s="17"/>
      <c r="AQ8" s="92">
        <f t="shared" ref="AQ8:AS8" si="65">AP8*70</f>
        <v>0</v>
      </c>
      <c r="AR8" s="17"/>
      <c r="AS8" s="92">
        <f t="shared" si="65"/>
        <v>0</v>
      </c>
      <c r="AT8" s="17"/>
      <c r="AU8" s="41">
        <f>AT8*70</f>
        <v>0</v>
      </c>
      <c r="AV8" s="17"/>
      <c r="AW8" s="41">
        <f t="shared" ref="AW8" si="66">AV8*70</f>
        <v>0</v>
      </c>
      <c r="AX8" s="17"/>
      <c r="AY8" s="41">
        <f t="shared" ref="AY8" si="67">AX8*70</f>
        <v>0</v>
      </c>
      <c r="AZ8" s="17"/>
      <c r="BA8" s="92">
        <f t="shared" ref="BA8:BC8" si="68">AZ8*70</f>
        <v>0</v>
      </c>
      <c r="BB8" s="17"/>
      <c r="BC8" s="92">
        <f t="shared" si="68"/>
        <v>0</v>
      </c>
      <c r="BD8" s="17"/>
      <c r="BE8" s="92">
        <f t="shared" ref="BE8" si="69">BD8*70</f>
        <v>0</v>
      </c>
      <c r="BF8" s="17"/>
      <c r="BG8" s="92">
        <f t="shared" ref="BG8" si="70">BF8*70</f>
        <v>0</v>
      </c>
      <c r="BH8" s="17"/>
      <c r="BI8" s="92">
        <f>BH8*70</f>
        <v>0</v>
      </c>
      <c r="BJ8" s="17"/>
      <c r="BK8" s="92">
        <f t="shared" ref="BK8" si="71">BJ8*70</f>
        <v>0</v>
      </c>
      <c r="BL8" s="17"/>
      <c r="BM8" s="92">
        <f>BL8*70</f>
        <v>0</v>
      </c>
    </row>
    <row r="9" spans="1:65" x14ac:dyDescent="0.25">
      <c r="A9" s="50" t="s">
        <v>43</v>
      </c>
      <c r="B9" s="94"/>
      <c r="C9" s="41"/>
      <c r="D9" s="95"/>
      <c r="E9" s="41"/>
      <c r="F9" s="95"/>
      <c r="G9" s="41"/>
      <c r="H9" s="95"/>
      <c r="I9" s="41"/>
      <c r="J9" s="95"/>
      <c r="K9" s="41"/>
      <c r="L9" s="95"/>
      <c r="M9" s="41"/>
      <c r="N9" s="95"/>
      <c r="O9" s="41"/>
      <c r="P9" s="95"/>
      <c r="Q9" s="41"/>
      <c r="R9" s="95"/>
      <c r="S9" s="41"/>
      <c r="T9" s="95"/>
      <c r="U9" s="41"/>
      <c r="V9" s="95"/>
      <c r="W9" s="41"/>
      <c r="X9" s="95"/>
      <c r="Y9" s="41"/>
      <c r="Z9" s="95"/>
      <c r="AA9" s="41"/>
      <c r="AB9" s="95"/>
      <c r="AC9" s="41"/>
      <c r="AD9" s="95"/>
      <c r="AE9" s="41"/>
      <c r="AF9" s="95"/>
      <c r="AG9" s="41"/>
      <c r="AH9" s="95"/>
      <c r="AI9" s="41"/>
      <c r="AJ9" s="95"/>
      <c r="AK9" s="41"/>
      <c r="AL9" s="95"/>
      <c r="AM9" s="41"/>
      <c r="AN9" s="95"/>
      <c r="AO9" s="41"/>
      <c r="AP9" s="95"/>
      <c r="AQ9" s="41"/>
      <c r="AR9" s="95"/>
      <c r="AS9" s="41"/>
      <c r="AT9" s="95"/>
      <c r="AU9" s="41"/>
      <c r="AV9" s="95"/>
      <c r="AW9" s="41"/>
      <c r="AX9" s="95"/>
      <c r="AY9" s="41"/>
      <c r="AZ9" s="95"/>
      <c r="BA9" s="41"/>
      <c r="BB9" s="95"/>
      <c r="BC9" s="41"/>
      <c r="BD9" s="95"/>
      <c r="BE9" s="41"/>
      <c r="BF9" s="95"/>
      <c r="BG9" s="41"/>
      <c r="BH9" s="95"/>
      <c r="BI9" s="41"/>
      <c r="BJ9" s="95"/>
      <c r="BK9" s="41"/>
      <c r="BL9" s="95"/>
      <c r="BM9" s="41"/>
    </row>
    <row r="10" spans="1:65" x14ac:dyDescent="0.25">
      <c r="A10" s="50" t="s">
        <v>11</v>
      </c>
      <c r="B10" s="94"/>
      <c r="C10" s="41"/>
      <c r="D10" s="95"/>
      <c r="E10" s="41"/>
      <c r="F10" s="95"/>
      <c r="G10" s="41"/>
      <c r="H10" s="95"/>
      <c r="I10" s="41"/>
      <c r="J10" s="95"/>
      <c r="K10" s="41"/>
      <c r="L10" s="95"/>
      <c r="M10" s="41"/>
      <c r="N10" s="95"/>
      <c r="O10" s="41"/>
      <c r="P10" s="95"/>
      <c r="Q10" s="41"/>
      <c r="R10" s="95"/>
      <c r="S10" s="41"/>
      <c r="T10" s="95"/>
      <c r="U10" s="41"/>
      <c r="V10" s="95"/>
      <c r="W10" s="41"/>
      <c r="X10" s="95"/>
      <c r="Y10" s="41"/>
      <c r="Z10" s="95"/>
      <c r="AA10" s="41"/>
      <c r="AB10" s="95"/>
      <c r="AC10" s="41"/>
      <c r="AD10" s="95"/>
      <c r="AE10" s="41"/>
      <c r="AF10" s="95"/>
      <c r="AG10" s="41"/>
      <c r="AH10" s="95"/>
      <c r="AI10" s="41"/>
      <c r="AJ10" s="95"/>
      <c r="AK10" s="41"/>
      <c r="AL10" s="95"/>
      <c r="AM10" s="41"/>
      <c r="AN10" s="95"/>
      <c r="AO10" s="41"/>
      <c r="AP10" s="95"/>
      <c r="AQ10" s="41"/>
      <c r="AR10" s="95"/>
      <c r="AS10" s="41"/>
      <c r="AT10" s="95"/>
      <c r="AU10" s="41"/>
      <c r="AV10" s="95"/>
      <c r="AW10" s="41"/>
      <c r="AX10" s="95"/>
      <c r="AY10" s="41"/>
      <c r="AZ10" s="95"/>
      <c r="BA10" s="41"/>
      <c r="BB10" s="95"/>
      <c r="BC10" s="41"/>
      <c r="BD10" s="95"/>
      <c r="BE10" s="41"/>
      <c r="BF10" s="95"/>
      <c r="BG10" s="41"/>
      <c r="BH10" s="95"/>
      <c r="BI10" s="41"/>
      <c r="BJ10" s="95"/>
      <c r="BK10" s="41"/>
      <c r="BL10" s="95"/>
      <c r="BM10" s="41"/>
    </row>
    <row r="11" spans="1:65" x14ac:dyDescent="0.25">
      <c r="A11" s="50" t="s">
        <v>46</v>
      </c>
      <c r="B11" s="94"/>
      <c r="C11" s="41"/>
      <c r="D11" s="95"/>
      <c r="E11" s="41"/>
      <c r="F11" s="95"/>
      <c r="G11" s="41"/>
      <c r="H11" s="95"/>
      <c r="I11" s="41"/>
      <c r="J11" s="95"/>
      <c r="K11" s="41"/>
      <c r="L11" s="95"/>
      <c r="M11" s="41"/>
      <c r="N11" s="95"/>
      <c r="O11" s="41"/>
      <c r="P11" s="95"/>
      <c r="Q11" s="41"/>
      <c r="R11" s="95"/>
      <c r="S11" s="41"/>
      <c r="T11" s="95"/>
      <c r="U11" s="41"/>
      <c r="V11" s="95"/>
      <c r="W11" s="41"/>
      <c r="X11" s="95"/>
      <c r="Y11" s="41"/>
      <c r="Z11" s="95"/>
      <c r="AA11" s="41"/>
      <c r="AB11" s="95"/>
      <c r="AC11" s="41"/>
      <c r="AD11" s="95"/>
      <c r="AE11" s="41"/>
      <c r="AF11" s="95"/>
      <c r="AG11" s="41"/>
      <c r="AH11" s="95"/>
      <c r="AI11" s="41"/>
      <c r="AJ11" s="95"/>
      <c r="AK11" s="41"/>
      <c r="AL11" s="95"/>
      <c r="AM11" s="41"/>
      <c r="AN11" s="95"/>
      <c r="AO11" s="41"/>
      <c r="AP11" s="95"/>
      <c r="AQ11" s="41"/>
      <c r="AR11" s="95"/>
      <c r="AS11" s="41"/>
      <c r="AT11" s="95"/>
      <c r="AU11" s="41"/>
      <c r="AV11" s="95"/>
      <c r="AW11" s="41"/>
      <c r="AX11" s="95"/>
      <c r="AY11" s="41"/>
      <c r="AZ11" s="95"/>
      <c r="BA11" s="41"/>
      <c r="BB11" s="95"/>
      <c r="BC11" s="41"/>
      <c r="BD11" s="95"/>
      <c r="BE11" s="41"/>
      <c r="BF11" s="95"/>
      <c r="BG11" s="41"/>
      <c r="BH11" s="95"/>
      <c r="BI11" s="41"/>
      <c r="BJ11" s="95"/>
      <c r="BK11" s="41"/>
      <c r="BL11" s="95"/>
      <c r="BM11" s="41"/>
    </row>
    <row r="12" spans="1:65" x14ac:dyDescent="0.25">
      <c r="A12" s="50" t="s">
        <v>45</v>
      </c>
      <c r="B12" s="94"/>
      <c r="C12" s="41"/>
      <c r="D12" s="95"/>
      <c r="E12" s="41"/>
      <c r="F12" s="95"/>
      <c r="G12" s="41"/>
      <c r="H12" s="95"/>
      <c r="I12" s="41"/>
      <c r="J12" s="95"/>
      <c r="K12" s="41"/>
      <c r="L12" s="95"/>
      <c r="M12" s="41"/>
      <c r="N12" s="95"/>
      <c r="O12" s="41"/>
      <c r="P12" s="95"/>
      <c r="Q12" s="41"/>
      <c r="R12" s="95"/>
      <c r="S12" s="41"/>
      <c r="T12" s="95"/>
      <c r="U12" s="41"/>
      <c r="V12" s="95"/>
      <c r="W12" s="41"/>
      <c r="X12" s="95"/>
      <c r="Y12" s="41"/>
      <c r="Z12" s="95"/>
      <c r="AA12" s="41"/>
      <c r="AB12" s="95"/>
      <c r="AC12" s="41"/>
      <c r="AD12" s="95"/>
      <c r="AE12" s="41"/>
      <c r="AF12" s="95"/>
      <c r="AG12" s="41"/>
      <c r="AH12" s="95"/>
      <c r="AI12" s="41"/>
      <c r="AJ12" s="95"/>
      <c r="AK12" s="41"/>
      <c r="AL12" s="95"/>
      <c r="AM12" s="41"/>
      <c r="AN12" s="95"/>
      <c r="AO12" s="41"/>
      <c r="AP12" s="95"/>
      <c r="AQ12" s="41"/>
      <c r="AR12" s="95"/>
      <c r="AS12" s="41"/>
      <c r="AT12" s="95"/>
      <c r="AU12" s="41"/>
      <c r="AV12" s="95"/>
      <c r="AW12" s="96"/>
      <c r="AX12" s="95"/>
      <c r="AY12" s="41"/>
      <c r="AZ12" s="95"/>
      <c r="BA12" s="41"/>
      <c r="BB12" s="95"/>
      <c r="BC12" s="41"/>
      <c r="BD12" s="95"/>
      <c r="BE12" s="41"/>
      <c r="BF12" s="95"/>
      <c r="BG12" s="41"/>
      <c r="BH12" s="95"/>
      <c r="BI12" s="41"/>
      <c r="BJ12" s="95"/>
      <c r="BK12" s="41"/>
      <c r="BL12" s="95"/>
      <c r="BM12" s="41"/>
    </row>
    <row r="13" spans="1:65" x14ac:dyDescent="0.25">
      <c r="A13" s="50" t="s">
        <v>49</v>
      </c>
      <c r="B13" s="94"/>
      <c r="C13" s="41"/>
      <c r="D13" s="95"/>
      <c r="E13" s="41">
        <v>1000</v>
      </c>
      <c r="F13" s="95"/>
      <c r="G13" s="41"/>
      <c r="H13" s="95"/>
      <c r="I13" s="41"/>
      <c r="J13" s="95"/>
      <c r="K13" s="41"/>
      <c r="L13" s="95"/>
      <c r="M13" s="41"/>
      <c r="N13" s="95"/>
      <c r="O13" s="41"/>
      <c r="P13" s="95"/>
      <c r="Q13" s="41"/>
      <c r="R13" s="95"/>
      <c r="S13" s="41"/>
      <c r="T13" s="95"/>
      <c r="U13" s="41"/>
      <c r="V13" s="95"/>
      <c r="W13" s="41"/>
      <c r="X13" s="95"/>
      <c r="Y13" s="41"/>
      <c r="Z13" s="95"/>
      <c r="AA13" s="41"/>
      <c r="AB13" s="95"/>
      <c r="AC13" s="41"/>
      <c r="AD13" s="95"/>
      <c r="AE13" s="41"/>
      <c r="AF13" s="95"/>
      <c r="AG13" s="41"/>
      <c r="AH13" s="95"/>
      <c r="AI13" s="41"/>
      <c r="AJ13" s="95"/>
      <c r="AK13" s="41"/>
      <c r="AL13" s="95"/>
      <c r="AM13" s="41"/>
      <c r="AN13" s="95"/>
      <c r="AO13" s="41"/>
      <c r="AP13" s="95"/>
      <c r="AQ13" s="41"/>
      <c r="AR13" s="95"/>
      <c r="AS13" s="41"/>
      <c r="AT13" s="95"/>
      <c r="AU13" s="41"/>
      <c r="AV13" s="95"/>
      <c r="AW13" s="41"/>
      <c r="AX13" s="95"/>
      <c r="AY13" s="41"/>
      <c r="AZ13" s="95"/>
      <c r="BA13" s="41"/>
      <c r="BB13" s="95"/>
      <c r="BC13" s="41"/>
      <c r="BD13" s="95"/>
      <c r="BE13" s="41"/>
      <c r="BF13" s="95"/>
      <c r="BG13" s="41"/>
      <c r="BH13" s="95"/>
      <c r="BI13" s="41"/>
      <c r="BJ13" s="95"/>
      <c r="BK13" s="41"/>
      <c r="BL13" s="95"/>
      <c r="BM13" s="41"/>
    </row>
    <row r="14" spans="1:65" x14ac:dyDescent="0.25">
      <c r="A14" s="50" t="s">
        <v>106</v>
      </c>
      <c r="B14" s="94"/>
      <c r="C14" s="41"/>
      <c r="D14" s="95"/>
      <c r="E14" s="41"/>
      <c r="F14" s="95"/>
      <c r="G14" s="41"/>
      <c r="H14" s="95"/>
      <c r="I14" s="41"/>
      <c r="J14" s="95"/>
      <c r="K14" s="41"/>
      <c r="L14" s="95"/>
      <c r="M14" s="41"/>
      <c r="N14" s="95"/>
      <c r="O14" s="41"/>
      <c r="P14" s="95"/>
      <c r="Q14" s="41"/>
      <c r="R14" s="95"/>
      <c r="S14" s="41"/>
      <c r="T14" s="95"/>
      <c r="U14" s="41"/>
      <c r="V14" s="95"/>
      <c r="W14" s="41"/>
      <c r="X14" s="95"/>
      <c r="Y14" s="41"/>
      <c r="Z14" s="95"/>
      <c r="AA14" s="41"/>
      <c r="AB14" s="95"/>
      <c r="AC14" s="41"/>
      <c r="AD14" s="95"/>
      <c r="AE14" s="41"/>
      <c r="AF14" s="95"/>
      <c r="AG14" s="41"/>
      <c r="AH14" s="95"/>
      <c r="AI14" s="41"/>
      <c r="AJ14" s="95"/>
      <c r="AK14" s="41"/>
      <c r="AL14" s="95"/>
      <c r="AM14" s="41"/>
      <c r="AN14" s="95"/>
      <c r="AO14" s="41"/>
      <c r="AP14" s="95"/>
      <c r="AQ14" s="41"/>
      <c r="AR14" s="95"/>
      <c r="AS14" s="41"/>
      <c r="AT14" s="95"/>
      <c r="AU14" s="41"/>
      <c r="AV14" s="95"/>
      <c r="AW14" s="41"/>
      <c r="AX14" s="95"/>
      <c r="AY14" s="41"/>
      <c r="AZ14" s="95"/>
      <c r="BA14" s="41"/>
      <c r="BB14" s="95"/>
      <c r="BC14" s="41"/>
      <c r="BD14" s="95"/>
      <c r="BE14" s="41"/>
      <c r="BF14" s="95"/>
      <c r="BG14" s="41"/>
      <c r="BH14" s="95"/>
      <c r="BI14" s="41"/>
      <c r="BJ14" s="95"/>
      <c r="BK14" s="41"/>
      <c r="BL14" s="95"/>
      <c r="BM14" s="41"/>
    </row>
    <row r="15" spans="1:65" x14ac:dyDescent="0.25">
      <c r="A15" s="50" t="s">
        <v>117</v>
      </c>
      <c r="B15" s="94"/>
      <c r="C15" s="41"/>
      <c r="D15" s="95"/>
      <c r="E15" s="41">
        <v>8580</v>
      </c>
      <c r="F15" s="95"/>
      <c r="G15" s="41"/>
      <c r="H15" s="95"/>
      <c r="I15" s="41"/>
      <c r="J15" s="95"/>
      <c r="K15" s="41"/>
      <c r="L15" s="95"/>
      <c r="M15" s="41"/>
      <c r="N15" s="95"/>
      <c r="O15" s="41"/>
      <c r="P15" s="95"/>
      <c r="Q15" s="41"/>
      <c r="R15" s="95"/>
      <c r="S15" s="41"/>
      <c r="T15" s="95"/>
      <c r="U15" s="41"/>
      <c r="V15" s="95"/>
      <c r="W15" s="41"/>
      <c r="X15" s="95"/>
      <c r="Y15" s="41"/>
      <c r="Z15" s="95"/>
      <c r="AA15" s="41"/>
      <c r="AB15" s="95"/>
      <c r="AC15" s="41"/>
      <c r="AD15" s="95"/>
      <c r="AE15" s="41"/>
      <c r="AF15" s="95"/>
      <c r="AG15" s="41"/>
      <c r="AH15" s="95"/>
      <c r="AI15" s="41"/>
      <c r="AJ15" s="95"/>
      <c r="AK15" s="41"/>
      <c r="AL15" s="95"/>
      <c r="AM15" s="41"/>
      <c r="AN15" s="95"/>
      <c r="AO15" s="41"/>
      <c r="AP15" s="95"/>
      <c r="AQ15" s="41"/>
      <c r="AR15" s="95"/>
      <c r="AS15" s="41"/>
      <c r="AT15" s="95"/>
      <c r="AU15" s="41"/>
      <c r="AV15" s="95"/>
      <c r="AW15" s="41"/>
      <c r="AX15" s="95"/>
      <c r="AY15" s="41"/>
      <c r="AZ15" s="95"/>
      <c r="BA15" s="41"/>
      <c r="BB15" s="95"/>
      <c r="BC15" s="41"/>
      <c r="BD15" s="95"/>
      <c r="BE15" s="41"/>
      <c r="BF15" s="95"/>
      <c r="BG15" s="41"/>
      <c r="BH15" s="95"/>
      <c r="BI15" s="41"/>
      <c r="BJ15" s="95"/>
      <c r="BK15" s="41"/>
      <c r="BL15" s="95"/>
      <c r="BM15" s="41"/>
    </row>
    <row r="16" spans="1:65" x14ac:dyDescent="0.25">
      <c r="A16" s="50" t="s">
        <v>179</v>
      </c>
      <c r="B16" s="94"/>
      <c r="C16" s="41"/>
      <c r="D16" s="95">
        <v>11000</v>
      </c>
      <c r="E16" s="41"/>
      <c r="F16" s="95"/>
      <c r="G16" s="41"/>
      <c r="H16" s="95"/>
      <c r="I16" s="41"/>
      <c r="J16" s="95"/>
      <c r="K16" s="41"/>
      <c r="L16" s="95"/>
      <c r="M16" s="41"/>
      <c r="N16" s="95"/>
      <c r="O16" s="41"/>
      <c r="P16" s="95"/>
      <c r="Q16" s="41"/>
      <c r="R16" s="95"/>
      <c r="S16" s="41"/>
      <c r="T16" s="95"/>
      <c r="U16" s="41"/>
      <c r="V16" s="95"/>
      <c r="W16" s="41"/>
      <c r="X16" s="95"/>
      <c r="Y16" s="41"/>
      <c r="Z16" s="95"/>
      <c r="AA16" s="41"/>
      <c r="AB16" s="95"/>
      <c r="AC16" s="41"/>
      <c r="AD16" s="95"/>
      <c r="AE16" s="41"/>
      <c r="AF16" s="95"/>
      <c r="AG16" s="41"/>
      <c r="AH16" s="95"/>
      <c r="AI16" s="41"/>
      <c r="AJ16" s="95"/>
      <c r="AK16" s="41"/>
      <c r="AL16" s="95"/>
      <c r="AM16" s="41"/>
      <c r="AN16" s="95"/>
      <c r="AO16" s="41"/>
      <c r="AP16" s="95"/>
      <c r="AQ16" s="41"/>
      <c r="AR16" s="95"/>
      <c r="AS16" s="41"/>
      <c r="AT16" s="95"/>
      <c r="AU16" s="41"/>
      <c r="AV16" s="95"/>
      <c r="AW16" s="41"/>
      <c r="AX16" s="95"/>
      <c r="AY16" s="41"/>
      <c r="AZ16" s="95"/>
      <c r="BA16" s="41"/>
      <c r="BB16" s="95"/>
      <c r="BC16" s="41"/>
      <c r="BD16" s="95"/>
      <c r="BE16" s="41"/>
      <c r="BF16" s="95"/>
      <c r="BG16" s="41"/>
      <c r="BH16" s="95"/>
      <c r="BI16" s="41"/>
      <c r="BJ16" s="95"/>
      <c r="BK16" s="41"/>
      <c r="BL16" s="95"/>
      <c r="BM16" s="41"/>
    </row>
    <row r="17" spans="1:65" x14ac:dyDescent="0.25">
      <c r="A17" s="86">
        <v>0.3</v>
      </c>
      <c r="B17" s="94"/>
      <c r="C17" s="41"/>
      <c r="D17" s="95"/>
      <c r="E17" s="41">
        <f>D16*0.3</f>
        <v>3300</v>
      </c>
      <c r="F17" s="95"/>
      <c r="G17" s="41"/>
      <c r="H17" s="95"/>
      <c r="I17" s="41"/>
      <c r="J17" s="95"/>
      <c r="K17" s="41"/>
      <c r="L17" s="95"/>
      <c r="M17" s="41"/>
      <c r="N17" s="95"/>
      <c r="O17" s="41"/>
      <c r="P17" s="95"/>
      <c r="Q17" s="41"/>
      <c r="R17" s="95"/>
      <c r="S17" s="41"/>
      <c r="T17" s="95"/>
      <c r="U17" s="41"/>
      <c r="V17" s="95"/>
      <c r="W17" s="41"/>
      <c r="X17" s="95"/>
      <c r="Y17" s="41"/>
      <c r="Z17" s="95"/>
      <c r="AA17" s="41"/>
      <c r="AB17" s="95"/>
      <c r="AC17" s="41"/>
      <c r="AD17" s="95"/>
      <c r="AE17" s="41"/>
      <c r="AF17" s="95"/>
      <c r="AG17" s="41"/>
      <c r="AH17" s="95"/>
      <c r="AI17" s="41"/>
      <c r="AJ17" s="95"/>
      <c r="AK17" s="41"/>
      <c r="AL17" s="95"/>
      <c r="AM17" s="41"/>
      <c r="AN17" s="95"/>
      <c r="AO17" s="41"/>
      <c r="AP17" s="95"/>
      <c r="AQ17" s="41"/>
      <c r="AR17" s="95"/>
      <c r="AS17" s="41"/>
      <c r="AT17" s="95"/>
      <c r="AU17" s="41"/>
      <c r="AV17" s="95"/>
      <c r="AW17" s="41"/>
      <c r="AX17" s="95"/>
      <c r="AY17" s="41"/>
      <c r="AZ17" s="95"/>
      <c r="BA17" s="41"/>
      <c r="BB17" s="95"/>
      <c r="BC17" s="41"/>
      <c r="BD17" s="97"/>
      <c r="BE17" s="41"/>
      <c r="BF17" s="95"/>
      <c r="BG17" s="41"/>
      <c r="BH17" s="95"/>
      <c r="BI17" s="41"/>
      <c r="BJ17" s="95"/>
      <c r="BK17" s="41"/>
      <c r="BL17" s="95"/>
      <c r="BM17" s="41"/>
    </row>
    <row r="18" spans="1:65" x14ac:dyDescent="0.25">
      <c r="A18" s="50" t="s">
        <v>123</v>
      </c>
      <c r="C18" s="19"/>
      <c r="D18" s="17"/>
      <c r="E18" s="19"/>
      <c r="F18" s="17"/>
      <c r="G18" s="19"/>
      <c r="H18" s="17"/>
      <c r="I18" s="19"/>
      <c r="J18" s="17"/>
      <c r="K18" s="19"/>
      <c r="L18" s="17"/>
      <c r="M18" s="19"/>
      <c r="N18" s="17"/>
      <c r="O18" s="19"/>
      <c r="P18" s="17"/>
      <c r="Q18" s="19"/>
      <c r="R18" s="17"/>
      <c r="S18" s="19"/>
      <c r="T18" s="17"/>
      <c r="U18" s="19"/>
      <c r="V18" s="17"/>
      <c r="W18" s="19"/>
      <c r="X18" s="17"/>
      <c r="Y18" s="19"/>
      <c r="Z18" s="17"/>
      <c r="AA18" s="19"/>
      <c r="AB18" s="17"/>
      <c r="AC18" s="19"/>
      <c r="AD18" s="17"/>
      <c r="AE18" s="19"/>
      <c r="AF18" s="17"/>
      <c r="AG18" s="19"/>
      <c r="AH18" s="17"/>
      <c r="AI18" s="19"/>
      <c r="AJ18" s="17"/>
      <c r="AK18" s="19"/>
      <c r="AL18" s="17"/>
      <c r="AM18" s="19"/>
      <c r="AN18" s="17"/>
      <c r="AO18" s="19"/>
      <c r="AP18" s="17"/>
      <c r="AQ18" s="19"/>
      <c r="AR18" s="17"/>
      <c r="AS18" s="19"/>
      <c r="AT18" s="17"/>
      <c r="AU18" s="19"/>
      <c r="AV18" s="17"/>
      <c r="AW18" s="19"/>
      <c r="AX18" s="17"/>
      <c r="AY18" s="19"/>
      <c r="AZ18" s="17"/>
      <c r="BA18" s="19"/>
      <c r="BB18" s="17"/>
      <c r="BC18" s="19"/>
      <c r="BD18" s="17"/>
      <c r="BE18" s="19"/>
      <c r="BF18" s="17"/>
      <c r="BG18" s="19"/>
      <c r="BH18" s="17"/>
      <c r="BI18" s="19"/>
      <c r="BJ18" s="17"/>
      <c r="BK18" s="19"/>
      <c r="BL18" s="17"/>
      <c r="BM18" s="19"/>
    </row>
    <row r="19" spans="1:65" x14ac:dyDescent="0.25">
      <c r="A19" s="50" t="s">
        <v>131</v>
      </c>
      <c r="C19" s="19"/>
      <c r="D19" s="17"/>
      <c r="E19" s="19"/>
      <c r="F19" s="17"/>
      <c r="G19" s="19"/>
      <c r="H19" s="17"/>
      <c r="I19" s="19"/>
      <c r="J19" s="17"/>
      <c r="K19" s="19"/>
      <c r="L19" s="17"/>
      <c r="M19" s="19"/>
      <c r="N19" s="17"/>
      <c r="O19" s="19"/>
      <c r="P19" s="17"/>
      <c r="Q19" s="19"/>
      <c r="R19" s="17"/>
      <c r="S19" s="19"/>
      <c r="T19" s="17"/>
      <c r="U19" s="19"/>
      <c r="V19" s="17"/>
      <c r="W19" s="19"/>
      <c r="X19" s="17"/>
      <c r="Y19" s="19"/>
      <c r="Z19" s="17"/>
      <c r="AA19" s="19"/>
      <c r="AB19" s="17"/>
      <c r="AC19" s="19"/>
      <c r="AD19" s="17"/>
      <c r="AE19" s="19"/>
      <c r="AF19" s="17"/>
      <c r="AG19" s="19"/>
      <c r="AH19" s="17"/>
      <c r="AI19" s="19"/>
      <c r="AJ19" s="17"/>
      <c r="AK19" s="19"/>
      <c r="AL19" s="17"/>
      <c r="AM19" s="19"/>
      <c r="AN19" s="17"/>
      <c r="AO19" s="19"/>
      <c r="AP19" s="17"/>
      <c r="AQ19" s="19"/>
      <c r="AR19" s="17"/>
      <c r="AS19" s="19"/>
      <c r="AT19" s="17"/>
      <c r="AU19" s="19"/>
      <c r="AV19" s="17"/>
      <c r="AW19" s="19"/>
      <c r="AX19" s="17"/>
      <c r="AY19" s="19">
        <f>AX19*100</f>
        <v>0</v>
      </c>
      <c r="AZ19" s="17"/>
      <c r="BA19" s="19"/>
      <c r="BB19" s="17"/>
      <c r="BC19" s="19"/>
      <c r="BD19" s="17"/>
      <c r="BE19" s="19"/>
      <c r="BF19" s="17"/>
      <c r="BG19" s="19"/>
      <c r="BH19" s="17"/>
      <c r="BI19" s="19"/>
      <c r="BJ19" s="17"/>
      <c r="BK19" s="19"/>
      <c r="BL19" s="17"/>
      <c r="BM19" s="19"/>
    </row>
    <row r="20" spans="1:65" ht="15.75" thickBot="1" x14ac:dyDescent="0.3">
      <c r="A20" s="50" t="s">
        <v>130</v>
      </c>
      <c r="B20" s="48"/>
      <c r="C20" s="10"/>
      <c r="D20" s="20"/>
      <c r="E20" s="10"/>
      <c r="F20" s="20"/>
      <c r="G20" s="10"/>
      <c r="H20" s="20"/>
      <c r="I20" s="10"/>
      <c r="J20" s="20"/>
      <c r="K20" s="10"/>
      <c r="L20" s="20"/>
      <c r="M20" s="10"/>
      <c r="N20" s="20"/>
      <c r="O20" s="10"/>
      <c r="P20" s="20"/>
      <c r="Q20" s="10"/>
      <c r="R20" s="20"/>
      <c r="S20" s="10"/>
      <c r="T20" s="20"/>
      <c r="U20" s="10"/>
      <c r="V20" s="20"/>
      <c r="W20" s="10"/>
      <c r="X20" s="20"/>
      <c r="Y20" s="10"/>
      <c r="Z20" s="20"/>
      <c r="AA20" s="10"/>
      <c r="AB20" s="20"/>
      <c r="AC20" s="10"/>
      <c r="AD20" s="20"/>
      <c r="AE20" s="10"/>
      <c r="AF20" s="20"/>
      <c r="AG20" s="10"/>
      <c r="AH20" s="20"/>
      <c r="AI20" s="10"/>
      <c r="AJ20" s="20"/>
      <c r="AK20" s="10"/>
      <c r="AL20" s="20"/>
      <c r="AM20" s="10"/>
      <c r="AN20" s="20"/>
      <c r="AO20" s="10"/>
      <c r="AP20" s="20"/>
      <c r="AQ20" s="10"/>
      <c r="AR20" s="20"/>
      <c r="AS20" s="10"/>
      <c r="AT20" s="20"/>
      <c r="AU20" s="10"/>
      <c r="AV20" s="20"/>
      <c r="AW20" s="10"/>
      <c r="AX20" s="20"/>
      <c r="AY20" s="10"/>
      <c r="AZ20" s="20"/>
      <c r="BA20" s="10"/>
      <c r="BB20" s="20"/>
      <c r="BC20" s="10"/>
      <c r="BD20" s="20"/>
      <c r="BE20" s="10"/>
      <c r="BF20" s="20"/>
      <c r="BG20" s="10"/>
      <c r="BH20" s="20"/>
      <c r="BI20" s="10"/>
      <c r="BJ20" s="20"/>
      <c r="BK20" s="10"/>
      <c r="BL20" s="20"/>
      <c r="BM20" s="10"/>
    </row>
    <row r="21" spans="1:65" ht="15.75" thickBot="1" x14ac:dyDescent="0.3">
      <c r="A21" s="87" t="s">
        <v>119</v>
      </c>
      <c r="C21" s="2">
        <f>SUM(C2:C20)</f>
        <v>0</v>
      </c>
      <c r="E21" s="2">
        <f>SUM(E2:E20)</f>
        <v>12880</v>
      </c>
      <c r="G21" s="2">
        <f>SUM(G2:G20)</f>
        <v>0</v>
      </c>
      <c r="I21" s="2">
        <f>SUM(I2:I20)</f>
        <v>0</v>
      </c>
      <c r="K21" s="2">
        <f>SUM(K2:K20)</f>
        <v>0</v>
      </c>
      <c r="M21" s="2">
        <f>SUM(M2:M20)</f>
        <v>0</v>
      </c>
      <c r="O21" s="2">
        <f>SUM(O2:O20)</f>
        <v>0</v>
      </c>
      <c r="Q21" s="2">
        <f>SUM(Q2:Q20)</f>
        <v>0</v>
      </c>
      <c r="S21" s="2">
        <f>SUM(S2:S20)</f>
        <v>0</v>
      </c>
      <c r="U21" s="2">
        <f>SUM(U2:U20)</f>
        <v>0</v>
      </c>
      <c r="W21" s="2">
        <f>SUM(W2:W20)</f>
        <v>0</v>
      </c>
      <c r="Y21" s="2">
        <f>SUM(Y2:Y20)</f>
        <v>0</v>
      </c>
      <c r="AA21" s="2">
        <f>SUM(AA2:AA20)</f>
        <v>0</v>
      </c>
      <c r="AC21" s="2">
        <f>SUM(AC2:AC20)</f>
        <v>0</v>
      </c>
      <c r="AE21" s="2">
        <f>SUM(AE2:AE20)</f>
        <v>0</v>
      </c>
      <c r="AG21" s="2">
        <f>SUM(AG2:AG20)</f>
        <v>0</v>
      </c>
      <c r="AI21" s="2">
        <f>SUM(AI2:AI20)</f>
        <v>0</v>
      </c>
      <c r="AK21" s="2">
        <f>SUM(AK2:AK20)</f>
        <v>0</v>
      </c>
      <c r="AM21" s="2">
        <f>SUM(AM2:AM20)</f>
        <v>0</v>
      </c>
      <c r="AO21" s="2">
        <f>SUM(AO2:AO20)</f>
        <v>0</v>
      </c>
      <c r="AQ21" s="2">
        <f>SUM(AQ2:AQ20)</f>
        <v>0</v>
      </c>
      <c r="AS21" s="2">
        <f>SUM(AS2:AS20)</f>
        <v>0</v>
      </c>
      <c r="AU21" s="2">
        <f>SUM(AU2:AU20)</f>
        <v>0</v>
      </c>
      <c r="AW21" s="2">
        <f>SUM(AW2:AW20)</f>
        <v>0</v>
      </c>
      <c r="AY21" s="2">
        <f>SUM(AY2:AY20)</f>
        <v>0</v>
      </c>
      <c r="BA21" s="2">
        <f>SUM(BA2:BA20)</f>
        <v>0</v>
      </c>
      <c r="BC21" s="2">
        <f>SUM(BC2:BC20)</f>
        <v>0</v>
      </c>
      <c r="BE21" s="2">
        <f>SUM(BE2:BE20)</f>
        <v>0</v>
      </c>
      <c r="BG21" s="2">
        <f>SUM(BG2:BG20)</f>
        <v>0</v>
      </c>
      <c r="BI21" s="2">
        <f>SUM(BI2:BI20)</f>
        <v>0</v>
      </c>
      <c r="BK21" s="2">
        <f>SUM(BK2:BK20)</f>
        <v>0</v>
      </c>
      <c r="BM21" s="2">
        <f>SUM(BM2:BM20)</f>
        <v>0</v>
      </c>
    </row>
    <row r="22" spans="1:65" x14ac:dyDescent="0.25">
      <c r="AI22">
        <v>364</v>
      </c>
    </row>
    <row r="23" spans="1:65" x14ac:dyDescent="0.25">
      <c r="A23" t="s">
        <v>218</v>
      </c>
      <c r="AI23" s="2">
        <f>AI21-AI22</f>
        <v>-364</v>
      </c>
    </row>
  </sheetData>
  <pageMargins left="0.2" right="0.2" top="1.25" bottom="0.25" header="0.3" footer="0.3"/>
  <pageSetup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24"/>
  <sheetViews>
    <sheetView workbookViewId="0">
      <pane xSplit="1" topLeftCell="B1" activePane="topRight" state="frozen"/>
      <selection pane="topRight" activeCell="B10" sqref="B10:W13"/>
    </sheetView>
  </sheetViews>
  <sheetFormatPr defaultRowHeight="15" x14ac:dyDescent="0.25"/>
  <cols>
    <col min="1" max="1" width="17.28515625" bestFit="1" customWidth="1"/>
    <col min="2" max="2" width="11" bestFit="1" customWidth="1"/>
    <col min="3" max="3" width="10.5703125" bestFit="1" customWidth="1"/>
    <col min="4" max="4" width="11" bestFit="1" customWidth="1"/>
    <col min="5" max="5" width="10.5703125" bestFit="1" customWidth="1"/>
    <col min="6" max="6" width="11" bestFit="1" customWidth="1"/>
    <col min="7" max="7" width="10.5703125" bestFit="1" customWidth="1"/>
    <col min="8" max="8" width="11" bestFit="1" customWidth="1"/>
    <col min="9" max="9" width="10.5703125" bestFit="1" customWidth="1"/>
    <col min="10" max="10" width="11" bestFit="1" customWidth="1"/>
    <col min="11" max="11" width="10.5703125" bestFit="1" customWidth="1"/>
    <col min="12" max="12" width="11" bestFit="1" customWidth="1"/>
    <col min="13" max="13" width="10.5703125" bestFit="1" customWidth="1"/>
    <col min="14" max="14" width="11" bestFit="1" customWidth="1"/>
    <col min="15" max="15" width="10.5703125" bestFit="1" customWidth="1"/>
    <col min="16" max="16" width="11" bestFit="1" customWidth="1"/>
    <col min="17" max="17" width="10.5703125" bestFit="1" customWidth="1"/>
    <col min="18" max="18" width="11" bestFit="1" customWidth="1"/>
    <col min="19" max="19" width="10.5703125" bestFit="1" customWidth="1"/>
    <col min="20" max="20" width="11" bestFit="1" customWidth="1"/>
    <col min="21" max="21" width="9.5703125" bestFit="1" customWidth="1"/>
    <col min="22" max="22" width="11" bestFit="1" customWidth="1"/>
    <col min="23" max="23" width="10.5703125" bestFit="1" customWidth="1"/>
    <col min="24" max="24" width="11" bestFit="1" customWidth="1"/>
    <col min="25" max="25" width="9.5703125" bestFit="1" customWidth="1"/>
  </cols>
  <sheetData>
    <row r="1" spans="1:25" x14ac:dyDescent="0.25">
      <c r="A1" s="54" t="s">
        <v>106</v>
      </c>
      <c r="B1" s="55" t="s">
        <v>97</v>
      </c>
      <c r="C1" s="53"/>
      <c r="D1" s="52" t="s">
        <v>99</v>
      </c>
      <c r="E1" s="53"/>
      <c r="F1" s="52" t="s">
        <v>121</v>
      </c>
      <c r="G1" s="53"/>
      <c r="H1" s="52" t="s">
        <v>100</v>
      </c>
      <c r="I1" s="53"/>
      <c r="J1" s="52" t="s">
        <v>101</v>
      </c>
      <c r="K1" s="53"/>
      <c r="L1" s="52" t="s">
        <v>103</v>
      </c>
      <c r="M1" s="53"/>
      <c r="N1" s="52" t="s">
        <v>104</v>
      </c>
      <c r="O1" s="53"/>
      <c r="P1" s="52" t="s">
        <v>112</v>
      </c>
      <c r="Q1" s="53"/>
      <c r="R1" s="52" t="s">
        <v>113</v>
      </c>
      <c r="S1" s="53"/>
      <c r="T1" s="52" t="s">
        <v>114</v>
      </c>
      <c r="U1" s="53"/>
      <c r="V1" s="52" t="s">
        <v>160</v>
      </c>
      <c r="W1" s="53"/>
      <c r="X1" s="52" t="s">
        <v>198</v>
      </c>
      <c r="Y1" s="53"/>
    </row>
    <row r="2" spans="1:25" x14ac:dyDescent="0.25">
      <c r="A2" s="50" t="s">
        <v>40</v>
      </c>
      <c r="B2" s="11"/>
      <c r="C2" s="4">
        <f>B2*10</f>
        <v>0</v>
      </c>
      <c r="D2" s="5"/>
      <c r="E2" s="4">
        <f>D2*10</f>
        <v>0</v>
      </c>
      <c r="F2" s="5"/>
      <c r="G2" s="4">
        <f>F2*10</f>
        <v>0</v>
      </c>
      <c r="H2" s="5"/>
      <c r="I2" s="4">
        <f>H2*10</f>
        <v>0</v>
      </c>
      <c r="J2" s="5"/>
      <c r="K2" s="4">
        <f>J2*10</f>
        <v>0</v>
      </c>
      <c r="L2" s="5"/>
      <c r="M2" s="4">
        <f>L2*10</f>
        <v>0</v>
      </c>
      <c r="N2" s="5"/>
      <c r="O2" s="4">
        <f>N2*10</f>
        <v>0</v>
      </c>
      <c r="P2" s="5"/>
      <c r="Q2" s="4">
        <f>P2*10</f>
        <v>0</v>
      </c>
      <c r="R2" s="5"/>
      <c r="S2" s="4">
        <f>R2*10</f>
        <v>0</v>
      </c>
      <c r="T2" s="5"/>
      <c r="U2" s="4">
        <f>T2*10</f>
        <v>0</v>
      </c>
      <c r="V2" s="5"/>
      <c r="W2" s="4">
        <f>V2*10</f>
        <v>0</v>
      </c>
      <c r="X2" s="5"/>
      <c r="Y2" s="4">
        <f>X2*10</f>
        <v>0</v>
      </c>
    </row>
    <row r="3" spans="1:25" x14ac:dyDescent="0.25">
      <c r="A3" s="50" t="s">
        <v>41</v>
      </c>
      <c r="B3" s="11"/>
      <c r="C3" s="4">
        <f>B3*60</f>
        <v>0</v>
      </c>
      <c r="D3" s="5"/>
      <c r="E3" s="4">
        <f>D3*60</f>
        <v>0</v>
      </c>
      <c r="F3" s="5"/>
      <c r="G3" s="4">
        <f>F3*60</f>
        <v>0</v>
      </c>
      <c r="H3" s="5"/>
      <c r="I3" s="4">
        <f>H3*60</f>
        <v>0</v>
      </c>
      <c r="J3" s="5"/>
      <c r="K3" s="4">
        <f>J3*60</f>
        <v>0</v>
      </c>
      <c r="L3" s="5"/>
      <c r="M3" s="4">
        <f>L3*60</f>
        <v>0</v>
      </c>
      <c r="N3" s="5"/>
      <c r="O3" s="4">
        <f>N3*60</f>
        <v>0</v>
      </c>
      <c r="P3" s="5"/>
      <c r="Q3" s="4">
        <f>P3*60</f>
        <v>0</v>
      </c>
      <c r="R3" s="5"/>
      <c r="S3" s="4">
        <f>R3*60</f>
        <v>0</v>
      </c>
      <c r="T3" s="5"/>
      <c r="U3" s="4">
        <f>T3*60</f>
        <v>0</v>
      </c>
      <c r="V3" s="5"/>
      <c r="W3" s="4">
        <f>V3*60</f>
        <v>0</v>
      </c>
      <c r="X3" s="5"/>
      <c r="Y3" s="4">
        <f>X3*60</f>
        <v>0</v>
      </c>
    </row>
    <row r="4" spans="1:25" x14ac:dyDescent="0.25">
      <c r="A4" s="50" t="s">
        <v>48</v>
      </c>
      <c r="C4" s="4">
        <f t="shared" ref="C4" si="0">B4*40</f>
        <v>0</v>
      </c>
      <c r="D4" s="17"/>
      <c r="E4" s="4">
        <f t="shared" ref="E4" si="1">D4*40</f>
        <v>0</v>
      </c>
      <c r="F4" s="17"/>
      <c r="G4" s="4">
        <f t="shared" ref="G4" si="2">F4*40</f>
        <v>0</v>
      </c>
      <c r="H4" s="17"/>
      <c r="I4" s="4">
        <f t="shared" ref="I4" si="3">H4*40</f>
        <v>0</v>
      </c>
      <c r="J4" s="17"/>
      <c r="K4" s="4">
        <f t="shared" ref="K4" si="4">J4*40</f>
        <v>0</v>
      </c>
      <c r="L4" s="17"/>
      <c r="M4" s="4">
        <f t="shared" ref="M4:O4" si="5">L4*40</f>
        <v>0</v>
      </c>
      <c r="N4" s="17"/>
      <c r="O4" s="4">
        <f t="shared" si="5"/>
        <v>0</v>
      </c>
      <c r="P4" s="17"/>
      <c r="Q4" s="4">
        <f t="shared" ref="Q4:S4" si="6">P4*40</f>
        <v>0</v>
      </c>
      <c r="R4" s="17"/>
      <c r="S4" s="4">
        <f t="shared" si="6"/>
        <v>0</v>
      </c>
      <c r="T4" s="17"/>
      <c r="U4" s="4">
        <f t="shared" ref="U4" si="7">T4*40</f>
        <v>0</v>
      </c>
      <c r="V4" s="17"/>
      <c r="W4" s="4">
        <f t="shared" ref="W4" si="8">V4*40</f>
        <v>0</v>
      </c>
      <c r="X4" s="17"/>
      <c r="Y4" s="4">
        <f>X4*40</f>
        <v>0</v>
      </c>
    </row>
    <row r="5" spans="1:25" x14ac:dyDescent="0.25">
      <c r="A5" s="50" t="s">
        <v>42</v>
      </c>
      <c r="C5" s="4">
        <f>B5*100</f>
        <v>0</v>
      </c>
      <c r="D5" s="17"/>
      <c r="E5" s="4">
        <f>D5*100</f>
        <v>0</v>
      </c>
      <c r="F5" s="17"/>
      <c r="G5" s="4">
        <f>F5*100</f>
        <v>0</v>
      </c>
      <c r="H5" s="17"/>
      <c r="I5" s="4">
        <f>H5*100</f>
        <v>0</v>
      </c>
      <c r="J5" s="17"/>
      <c r="K5" s="4">
        <f>J5*100</f>
        <v>0</v>
      </c>
      <c r="L5" s="17"/>
      <c r="M5" s="4">
        <f>L5*100</f>
        <v>0</v>
      </c>
      <c r="N5" s="17"/>
      <c r="O5" s="4">
        <f>N5*100</f>
        <v>0</v>
      </c>
      <c r="P5" s="17"/>
      <c r="Q5" s="4">
        <f>P5*100</f>
        <v>0</v>
      </c>
      <c r="R5" s="17"/>
      <c r="S5" s="4">
        <f>R5*100</f>
        <v>0</v>
      </c>
      <c r="T5" s="17"/>
      <c r="U5" s="4">
        <f>T5*100</f>
        <v>0</v>
      </c>
      <c r="V5" s="17"/>
      <c r="W5" s="4">
        <f>V5*100</f>
        <v>0</v>
      </c>
      <c r="X5" s="17"/>
      <c r="Y5" s="4">
        <f>X5*100</f>
        <v>0</v>
      </c>
    </row>
    <row r="6" spans="1:25" x14ac:dyDescent="0.25">
      <c r="A6" s="50" t="s">
        <v>43</v>
      </c>
      <c r="C6" s="4">
        <f t="shared" ref="C6:C7" si="9">B6*10</f>
        <v>0</v>
      </c>
      <c r="D6" s="17"/>
      <c r="E6" s="4">
        <f t="shared" ref="E6:E7" si="10">D6*10</f>
        <v>0</v>
      </c>
      <c r="F6" s="17"/>
      <c r="G6" s="4">
        <f t="shared" ref="G6:G7" si="11">F6*10</f>
        <v>0</v>
      </c>
      <c r="H6" s="17"/>
      <c r="I6" s="4">
        <f t="shared" ref="I6:I7" si="12">H6*10</f>
        <v>0</v>
      </c>
      <c r="J6" s="17"/>
      <c r="K6" s="4">
        <f t="shared" ref="K6:K7" si="13">J6*10</f>
        <v>0</v>
      </c>
      <c r="L6" s="17"/>
      <c r="M6" s="4">
        <f t="shared" ref="M6:M7" si="14">L6*10</f>
        <v>0</v>
      </c>
      <c r="N6" s="17"/>
      <c r="O6" s="4">
        <f t="shared" ref="O6:O7" si="15">N6*10</f>
        <v>0</v>
      </c>
      <c r="P6" s="17"/>
      <c r="Q6" s="4">
        <f t="shared" ref="Q6:Q7" si="16">P6*10</f>
        <v>0</v>
      </c>
      <c r="R6" s="17"/>
      <c r="S6" s="4">
        <f t="shared" ref="S6:S7" si="17">R6*10</f>
        <v>0</v>
      </c>
      <c r="T6" s="17"/>
      <c r="U6" s="4">
        <f t="shared" ref="U6:U7" si="18">T6*10</f>
        <v>0</v>
      </c>
      <c r="V6" s="17"/>
      <c r="W6" s="4">
        <f t="shared" ref="W6:W7" si="19">V6*10</f>
        <v>0</v>
      </c>
      <c r="X6" s="17"/>
      <c r="Y6" s="4">
        <f t="shared" ref="Y6:Y7" si="20">X6*10</f>
        <v>0</v>
      </c>
    </row>
    <row r="7" spans="1:25" x14ac:dyDescent="0.25">
      <c r="A7" s="50" t="s">
        <v>11</v>
      </c>
      <c r="C7" s="4">
        <f t="shared" si="9"/>
        <v>0</v>
      </c>
      <c r="D7" s="17"/>
      <c r="E7" s="4">
        <f t="shared" si="10"/>
        <v>0</v>
      </c>
      <c r="F7" s="17"/>
      <c r="G7" s="4">
        <f t="shared" si="11"/>
        <v>0</v>
      </c>
      <c r="H7" s="17"/>
      <c r="I7" s="4">
        <f t="shared" si="12"/>
        <v>0</v>
      </c>
      <c r="J7" s="17"/>
      <c r="K7" s="4">
        <f t="shared" si="13"/>
        <v>0</v>
      </c>
      <c r="L7" s="17"/>
      <c r="M7" s="4">
        <f t="shared" si="14"/>
        <v>0</v>
      </c>
      <c r="N7" s="17"/>
      <c r="O7" s="4">
        <f t="shared" si="15"/>
        <v>0</v>
      </c>
      <c r="P7" s="17"/>
      <c r="Q7" s="4">
        <f t="shared" si="16"/>
        <v>0</v>
      </c>
      <c r="R7" s="17"/>
      <c r="S7" s="4">
        <f t="shared" si="17"/>
        <v>0</v>
      </c>
      <c r="T7" s="17"/>
      <c r="U7" s="4">
        <f t="shared" si="18"/>
        <v>0</v>
      </c>
      <c r="V7" s="17"/>
      <c r="W7" s="4">
        <f t="shared" si="19"/>
        <v>0</v>
      </c>
      <c r="X7" s="17"/>
      <c r="Y7" s="4">
        <f t="shared" si="20"/>
        <v>0</v>
      </c>
    </row>
    <row r="8" spans="1:25" x14ac:dyDescent="0.25">
      <c r="A8" s="50" t="s">
        <v>46</v>
      </c>
      <c r="C8" s="4"/>
      <c r="D8" s="17"/>
      <c r="E8" s="4"/>
      <c r="F8" s="17"/>
      <c r="G8" s="4"/>
      <c r="H8" s="17"/>
      <c r="I8" s="4"/>
      <c r="J8" s="17"/>
      <c r="K8" s="4"/>
      <c r="L8" s="17"/>
      <c r="M8" s="4"/>
      <c r="N8" s="17"/>
      <c r="O8" s="4"/>
      <c r="P8" s="17"/>
      <c r="Q8" s="4"/>
      <c r="R8" s="17"/>
      <c r="S8" s="4"/>
      <c r="T8" s="17"/>
      <c r="U8" s="4"/>
      <c r="V8" s="17"/>
      <c r="W8" s="4"/>
      <c r="X8" s="17"/>
      <c r="Y8" s="4"/>
    </row>
    <row r="9" spans="1:25" x14ac:dyDescent="0.25">
      <c r="A9" s="50" t="s">
        <v>45</v>
      </c>
      <c r="C9" s="4"/>
      <c r="D9" s="17"/>
      <c r="E9" s="4"/>
      <c r="F9" s="17"/>
      <c r="G9" s="4"/>
      <c r="H9" s="17"/>
      <c r="I9" s="4"/>
      <c r="J9" s="17"/>
      <c r="K9" s="4"/>
      <c r="L9" s="17"/>
      <c r="M9" s="4"/>
      <c r="N9" s="17"/>
      <c r="O9" s="4"/>
      <c r="P9" s="17"/>
      <c r="Q9" s="4"/>
      <c r="R9" s="17"/>
      <c r="S9" s="4"/>
      <c r="T9" s="17"/>
      <c r="U9" s="4"/>
      <c r="V9" s="17"/>
      <c r="W9" s="4"/>
      <c r="X9" s="17"/>
      <c r="Y9" s="4"/>
    </row>
    <row r="10" spans="1:25" x14ac:dyDescent="0.25">
      <c r="A10" s="50" t="s">
        <v>49</v>
      </c>
      <c r="C10" s="19"/>
      <c r="D10" s="17"/>
      <c r="E10" s="19"/>
      <c r="F10" s="17"/>
      <c r="G10" s="19"/>
      <c r="H10" s="17"/>
      <c r="I10" s="19"/>
      <c r="J10" s="17"/>
      <c r="K10" s="19"/>
      <c r="L10" s="17"/>
      <c r="M10" s="19"/>
      <c r="N10" s="17"/>
      <c r="O10" s="19"/>
      <c r="P10" s="17"/>
      <c r="Q10" s="19"/>
      <c r="R10" s="17"/>
      <c r="S10" s="19"/>
      <c r="T10" s="17"/>
      <c r="U10" s="19"/>
      <c r="V10" s="17"/>
      <c r="W10" s="19"/>
      <c r="X10" s="17"/>
      <c r="Y10" s="19"/>
    </row>
    <row r="11" spans="1:25" x14ac:dyDescent="0.25">
      <c r="A11" s="50" t="s">
        <v>179</v>
      </c>
      <c r="B11" s="32"/>
      <c r="C11" s="19"/>
      <c r="D11" s="32"/>
      <c r="E11" s="28"/>
      <c r="F11" s="32"/>
      <c r="G11" s="28"/>
      <c r="H11" s="32"/>
      <c r="I11" s="28"/>
      <c r="J11" s="32"/>
      <c r="K11" s="28"/>
      <c r="L11" s="32"/>
      <c r="M11" s="28"/>
      <c r="N11" s="32"/>
      <c r="O11" s="28"/>
      <c r="P11" s="32"/>
      <c r="Q11" s="28"/>
      <c r="R11" s="32"/>
      <c r="S11" s="28"/>
      <c r="T11" s="32"/>
      <c r="U11" s="28"/>
      <c r="V11" s="32"/>
      <c r="W11" s="28"/>
      <c r="X11" s="32"/>
      <c r="Y11" s="28"/>
    </row>
    <row r="12" spans="1:25" x14ac:dyDescent="0.25">
      <c r="A12" s="50" t="s">
        <v>117</v>
      </c>
      <c r="C12" s="19"/>
      <c r="D12" s="32"/>
      <c r="E12" s="28"/>
      <c r="F12" s="32"/>
      <c r="G12" s="28"/>
      <c r="H12" s="32"/>
      <c r="I12" s="28"/>
      <c r="J12" s="32"/>
      <c r="K12" s="28"/>
      <c r="L12" s="32"/>
      <c r="M12" s="28"/>
      <c r="N12" s="32"/>
      <c r="O12" s="28"/>
      <c r="P12" s="32"/>
      <c r="Q12" s="28"/>
      <c r="R12" s="32"/>
      <c r="S12" s="28"/>
      <c r="T12" s="32"/>
      <c r="U12" s="28"/>
      <c r="V12" s="32"/>
      <c r="W12" s="28"/>
      <c r="X12" s="32"/>
      <c r="Y12" s="28"/>
    </row>
    <row r="13" spans="1:25" x14ac:dyDescent="0.25">
      <c r="A13" s="50" t="s">
        <v>106</v>
      </c>
      <c r="C13" s="19"/>
      <c r="D13" s="17"/>
      <c r="E13" s="19"/>
      <c r="F13" s="17"/>
      <c r="G13" s="19"/>
      <c r="H13" s="17"/>
      <c r="I13" s="19"/>
      <c r="J13" s="17"/>
      <c r="K13" s="19"/>
      <c r="L13" s="17"/>
      <c r="M13" s="19"/>
      <c r="N13" s="17"/>
      <c r="O13" s="19"/>
      <c r="P13" s="17"/>
      <c r="Q13" s="19"/>
      <c r="R13" s="17"/>
      <c r="S13" s="19"/>
      <c r="T13" s="17"/>
      <c r="U13" s="19"/>
      <c r="V13" s="17"/>
      <c r="W13" s="19"/>
      <c r="X13" s="17"/>
      <c r="Y13" s="19"/>
    </row>
    <row r="14" spans="1:25" x14ac:dyDescent="0.25">
      <c r="A14" s="50" t="s">
        <v>110</v>
      </c>
      <c r="C14" s="4">
        <f t="shared" ref="C14" si="21">B14*10</f>
        <v>0</v>
      </c>
      <c r="D14" s="17"/>
      <c r="E14" s="4">
        <f t="shared" ref="E14" si="22">D14*10</f>
        <v>0</v>
      </c>
      <c r="F14" s="17"/>
      <c r="G14" s="4">
        <f t="shared" ref="G14" si="23">F14*10</f>
        <v>0</v>
      </c>
      <c r="H14" s="17"/>
      <c r="I14" s="4">
        <f t="shared" ref="I14" si="24">H14*10</f>
        <v>0</v>
      </c>
      <c r="J14" s="17"/>
      <c r="K14" s="4">
        <f t="shared" ref="K14" si="25">J14*10</f>
        <v>0</v>
      </c>
      <c r="L14" s="17"/>
      <c r="M14" s="4">
        <f t="shared" ref="M14" si="26">L14*10</f>
        <v>0</v>
      </c>
      <c r="N14" s="17"/>
      <c r="O14" s="4">
        <f t="shared" ref="O14" si="27">N14*10</f>
        <v>0</v>
      </c>
      <c r="P14" s="17"/>
      <c r="Q14" s="4">
        <f t="shared" ref="Q14" si="28">P14*10</f>
        <v>0</v>
      </c>
      <c r="R14" s="17"/>
      <c r="S14" s="4">
        <f t="shared" ref="S14" si="29">R14*10</f>
        <v>0</v>
      </c>
      <c r="T14" s="17"/>
      <c r="U14" s="4">
        <f t="shared" ref="U14" si="30">T14*10</f>
        <v>0</v>
      </c>
      <c r="V14" s="17"/>
      <c r="W14" s="4">
        <f t="shared" ref="W14" si="31">V14*10</f>
        <v>0</v>
      </c>
      <c r="X14" s="17"/>
      <c r="Y14" s="4">
        <f t="shared" ref="Y14" si="32">X14*10</f>
        <v>0</v>
      </c>
    </row>
    <row r="15" spans="1:25" x14ac:dyDescent="0.25">
      <c r="A15" s="50" t="s">
        <v>159</v>
      </c>
      <c r="C15" s="19"/>
      <c r="D15" s="17"/>
      <c r="E15" s="19"/>
      <c r="F15" s="17"/>
      <c r="G15" s="19"/>
      <c r="H15" s="17"/>
      <c r="I15" s="19"/>
      <c r="J15" s="17"/>
      <c r="K15" s="19"/>
      <c r="L15" s="17"/>
      <c r="M15" s="19"/>
      <c r="N15" s="17"/>
      <c r="O15" s="19"/>
      <c r="P15" s="17"/>
      <c r="Q15" s="19"/>
      <c r="R15" s="17"/>
      <c r="S15" s="19"/>
      <c r="T15" s="17"/>
      <c r="U15" s="19"/>
      <c r="V15" s="17"/>
      <c r="W15" s="19"/>
      <c r="X15" s="17"/>
      <c r="Y15" s="19"/>
    </row>
    <row r="16" spans="1:25" x14ac:dyDescent="0.25">
      <c r="A16" s="50" t="s">
        <v>172</v>
      </c>
      <c r="C16" s="19"/>
      <c r="D16" s="17"/>
      <c r="E16" s="19"/>
      <c r="F16" s="17"/>
      <c r="G16" s="19"/>
      <c r="H16" s="17"/>
      <c r="I16" s="19"/>
      <c r="J16" s="17"/>
      <c r="K16" s="19"/>
      <c r="L16" s="17"/>
      <c r="M16" s="4">
        <f t="shared" ref="M16" si="33">L16*100</f>
        <v>0</v>
      </c>
      <c r="N16" s="17"/>
      <c r="O16" s="4">
        <f t="shared" ref="O16" si="34">N16*100</f>
        <v>0</v>
      </c>
      <c r="P16" s="17"/>
      <c r="Q16" s="4">
        <f t="shared" ref="Q16" si="35">P16*100</f>
        <v>0</v>
      </c>
      <c r="R16" s="17"/>
      <c r="S16" s="4">
        <f>R16*100</f>
        <v>0</v>
      </c>
      <c r="T16" s="17"/>
      <c r="U16" s="19"/>
      <c r="V16" s="17"/>
      <c r="W16" s="19"/>
      <c r="X16" s="17"/>
      <c r="Y16" s="19"/>
    </row>
    <row r="17" spans="1:25" x14ac:dyDescent="0.25">
      <c r="A17" s="86">
        <v>0.3</v>
      </c>
      <c r="C17" s="19"/>
      <c r="D17" s="17"/>
      <c r="E17" s="19"/>
      <c r="F17" s="17"/>
      <c r="G17" s="19"/>
      <c r="H17" s="17"/>
      <c r="I17" s="19"/>
      <c r="J17" s="17"/>
      <c r="K17" s="19"/>
      <c r="L17" s="17"/>
      <c r="M17" s="28">
        <f>L11*0.3</f>
        <v>0</v>
      </c>
      <c r="N17" s="17"/>
      <c r="O17" s="28">
        <f>N11*0.3</f>
        <v>0</v>
      </c>
      <c r="P17" s="17"/>
      <c r="Q17" s="19"/>
      <c r="R17" s="17"/>
      <c r="S17" s="19"/>
      <c r="T17" s="17"/>
      <c r="U17" s="19"/>
      <c r="V17" s="17"/>
      <c r="W17" s="19"/>
      <c r="X17" s="17"/>
      <c r="Y17" s="19"/>
    </row>
    <row r="18" spans="1:25" ht="15.75" thickBot="1" x14ac:dyDescent="0.3">
      <c r="A18" s="50" t="s">
        <v>193</v>
      </c>
      <c r="B18" s="48"/>
      <c r="C18" s="10"/>
      <c r="D18" s="20"/>
      <c r="E18" s="10"/>
      <c r="F18" s="20"/>
      <c r="G18" s="10"/>
      <c r="H18" s="20"/>
      <c r="I18" s="10"/>
      <c r="J18" s="20"/>
      <c r="K18" s="10"/>
      <c r="L18" s="88"/>
      <c r="M18" s="10"/>
      <c r="N18" s="88"/>
      <c r="O18" s="10"/>
      <c r="P18" s="20"/>
      <c r="Q18" s="10"/>
      <c r="R18" s="20"/>
      <c r="S18" s="10"/>
      <c r="T18" s="20"/>
      <c r="U18" s="10"/>
      <c r="V18" s="20"/>
      <c r="W18" s="10">
        <v>3000</v>
      </c>
      <c r="X18" s="20"/>
      <c r="Y18" s="10"/>
    </row>
    <row r="19" spans="1:25" ht="15.75" thickBot="1" x14ac:dyDescent="0.3">
      <c r="A19" s="87" t="s">
        <v>119</v>
      </c>
      <c r="C19" s="2">
        <f>SUM(C2:C18)</f>
        <v>0</v>
      </c>
      <c r="E19" s="2">
        <f>SUM(E2:E18)</f>
        <v>0</v>
      </c>
      <c r="G19" s="2">
        <f>SUM(G2:G18)</f>
        <v>0</v>
      </c>
      <c r="I19" s="2">
        <f>SUM(I2:I18)</f>
        <v>0</v>
      </c>
      <c r="K19" s="2">
        <f>SUM(K2:K18)</f>
        <v>0</v>
      </c>
      <c r="M19" s="2">
        <f>SUM(M2:M18)</f>
        <v>0</v>
      </c>
      <c r="O19" s="2">
        <f>SUM(O2:O18)</f>
        <v>0</v>
      </c>
      <c r="Q19" s="2">
        <f>SUM(Q2:Q18)</f>
        <v>0</v>
      </c>
      <c r="S19" s="2">
        <f>SUM(S2:S18)</f>
        <v>0</v>
      </c>
      <c r="U19" s="2">
        <f>SUM(U2:U18)</f>
        <v>0</v>
      </c>
      <c r="W19" s="2">
        <f>SUM(W2:W18)</f>
        <v>3000</v>
      </c>
      <c r="Y19" s="2">
        <f>SUM(Y2:Y18)</f>
        <v>0</v>
      </c>
    </row>
    <row r="24" spans="1:25" x14ac:dyDescent="0.25">
      <c r="E24" t="s">
        <v>217</v>
      </c>
      <c r="G24" t="s">
        <v>217</v>
      </c>
    </row>
  </sheetData>
  <pageMargins left="0.25" right="0.25" top="1.25" bottom="0.75" header="0.3" footer="0.3"/>
  <pageSetup orientation="landscape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12"/>
  <sheetViews>
    <sheetView zoomScale="90" zoomScaleNormal="90" workbookViewId="0">
      <pane xSplit="1" topLeftCell="B1" activePane="topRight" state="frozen"/>
      <selection pane="topRight" activeCell="R19" sqref="R19"/>
    </sheetView>
  </sheetViews>
  <sheetFormatPr defaultRowHeight="15" x14ac:dyDescent="0.25"/>
  <cols>
    <col min="1" max="1" width="17.28515625" bestFit="1" customWidth="1"/>
    <col min="2" max="2" width="12.140625" bestFit="1" customWidth="1"/>
    <col min="3" max="3" width="11.5703125" bestFit="1" customWidth="1"/>
    <col min="4" max="4" width="12.140625" bestFit="1" customWidth="1"/>
    <col min="5" max="5" width="11.5703125" bestFit="1" customWidth="1"/>
    <col min="6" max="6" width="11.140625" bestFit="1" customWidth="1"/>
    <col min="7" max="7" width="11.5703125" bestFit="1" customWidth="1"/>
    <col min="8" max="8" width="11.140625" bestFit="1" customWidth="1"/>
    <col min="9" max="9" width="11.5703125" bestFit="1" customWidth="1"/>
    <col min="10" max="10" width="12.140625" bestFit="1" customWidth="1"/>
    <col min="11" max="11" width="11.5703125" bestFit="1" customWidth="1"/>
    <col min="12" max="12" width="12.140625" bestFit="1" customWidth="1"/>
    <col min="13" max="13" width="11.5703125" bestFit="1" customWidth="1"/>
    <col min="14" max="14" width="11.140625" bestFit="1" customWidth="1"/>
    <col min="15" max="15" width="11.5703125" bestFit="1" customWidth="1"/>
    <col min="16" max="16" width="11.140625" bestFit="1" customWidth="1"/>
    <col min="17" max="17" width="11.5703125" bestFit="1" customWidth="1"/>
    <col min="18" max="18" width="12.140625" bestFit="1" customWidth="1"/>
    <col min="19" max="19" width="11.5703125" bestFit="1" customWidth="1"/>
  </cols>
  <sheetData>
    <row r="1" spans="1:19" ht="15.75" x14ac:dyDescent="0.25">
      <c r="A1" s="12" t="s">
        <v>106</v>
      </c>
      <c r="B1" s="24" t="s">
        <v>135</v>
      </c>
      <c r="C1" s="14"/>
      <c r="D1" s="13" t="s">
        <v>140</v>
      </c>
      <c r="E1" s="14"/>
      <c r="F1" s="24" t="s">
        <v>142</v>
      </c>
      <c r="G1" s="14"/>
      <c r="H1" s="24" t="s">
        <v>143</v>
      </c>
      <c r="I1" s="14"/>
      <c r="J1" s="24" t="s">
        <v>144</v>
      </c>
      <c r="K1" s="14"/>
      <c r="L1" s="24" t="s">
        <v>146</v>
      </c>
      <c r="M1" s="14"/>
      <c r="N1" s="24" t="s">
        <v>147</v>
      </c>
      <c r="O1" s="14"/>
      <c r="P1" s="24" t="s">
        <v>148</v>
      </c>
      <c r="Q1" s="14"/>
      <c r="R1" s="24" t="s">
        <v>155</v>
      </c>
      <c r="S1" s="14"/>
    </row>
    <row r="2" spans="1:19" x14ac:dyDescent="0.25">
      <c r="A2" t="s">
        <v>46</v>
      </c>
      <c r="B2" s="17"/>
      <c r="C2" s="4">
        <f>B2*600</f>
        <v>0</v>
      </c>
      <c r="D2" s="17"/>
      <c r="E2" s="4">
        <f t="shared" ref="E2" si="0">D2*600</f>
        <v>0</v>
      </c>
      <c r="F2" s="17"/>
      <c r="G2" s="4">
        <f t="shared" ref="G2" si="1">F2*600</f>
        <v>0</v>
      </c>
      <c r="H2" s="17"/>
      <c r="I2" s="4">
        <f t="shared" ref="I2" si="2">H2*600</f>
        <v>0</v>
      </c>
      <c r="J2" s="17"/>
      <c r="K2" s="4">
        <f t="shared" ref="K2" si="3">J2*600</f>
        <v>0</v>
      </c>
      <c r="L2" s="17"/>
      <c r="M2" s="4">
        <f t="shared" ref="M2" si="4">L2*600</f>
        <v>0</v>
      </c>
      <c r="N2" s="17"/>
      <c r="O2" s="4">
        <f t="shared" ref="O2" si="5">N2*600</f>
        <v>0</v>
      </c>
      <c r="P2" s="17"/>
      <c r="Q2" s="4">
        <f t="shared" ref="Q2:S2" si="6">P2*600</f>
        <v>0</v>
      </c>
      <c r="R2" s="17"/>
      <c r="S2" s="4">
        <f t="shared" si="6"/>
        <v>0</v>
      </c>
    </row>
    <row r="3" spans="1:19" x14ac:dyDescent="0.25">
      <c r="A3" t="s">
        <v>149</v>
      </c>
      <c r="B3" s="17"/>
      <c r="C3" s="4">
        <f>B3*400</f>
        <v>0</v>
      </c>
      <c r="D3" s="17"/>
      <c r="E3" s="4">
        <f t="shared" ref="E3" si="7">D3*400</f>
        <v>0</v>
      </c>
      <c r="F3" s="17"/>
      <c r="G3" s="4">
        <f t="shared" ref="G3" si="8">F3*400</f>
        <v>0</v>
      </c>
      <c r="H3" s="17"/>
      <c r="I3" s="4">
        <f t="shared" ref="I3" si="9">H3*400</f>
        <v>0</v>
      </c>
      <c r="J3" s="17"/>
      <c r="K3" s="4">
        <f t="shared" ref="K3" si="10">J3*400</f>
        <v>0</v>
      </c>
      <c r="L3" s="17"/>
      <c r="M3" s="4">
        <f t="shared" ref="M3" si="11">L3*400</f>
        <v>0</v>
      </c>
      <c r="N3" s="17"/>
      <c r="O3" s="4">
        <f t="shared" ref="O3" si="12">N3*400</f>
        <v>0</v>
      </c>
      <c r="P3" s="17"/>
      <c r="Q3" s="4">
        <f t="shared" ref="Q3:S3" si="13">P3*400</f>
        <v>0</v>
      </c>
      <c r="R3" s="17"/>
      <c r="S3" s="4">
        <f t="shared" si="13"/>
        <v>0</v>
      </c>
    </row>
    <row r="4" spans="1:19" x14ac:dyDescent="0.25">
      <c r="A4" t="s">
        <v>150</v>
      </c>
      <c r="B4" s="17"/>
      <c r="C4" s="4"/>
      <c r="D4" s="17"/>
      <c r="E4" s="4"/>
      <c r="F4" s="17"/>
      <c r="G4" s="4"/>
      <c r="H4" s="17"/>
      <c r="I4" s="4"/>
      <c r="J4" s="17"/>
      <c r="K4" s="4"/>
      <c r="L4" s="17"/>
      <c r="M4" s="4"/>
      <c r="N4" s="17"/>
      <c r="O4" s="4"/>
      <c r="P4" s="17"/>
      <c r="Q4" s="4"/>
      <c r="R4" s="17"/>
      <c r="S4" s="4"/>
    </row>
    <row r="5" spans="1:19" x14ac:dyDescent="0.25">
      <c r="A5" t="s">
        <v>151</v>
      </c>
      <c r="B5" s="17"/>
      <c r="C5" s="4"/>
      <c r="D5" s="17"/>
      <c r="E5" s="4"/>
      <c r="F5" s="17"/>
      <c r="G5" s="4"/>
      <c r="H5" s="17"/>
      <c r="I5" s="4"/>
      <c r="J5" s="17"/>
      <c r="K5" s="4"/>
      <c r="L5" s="17"/>
      <c r="M5" s="4"/>
      <c r="N5" s="17"/>
      <c r="O5" s="4"/>
      <c r="P5" s="17"/>
      <c r="Q5" s="4"/>
      <c r="R5" s="17"/>
      <c r="S5" s="4"/>
    </row>
    <row r="6" spans="1:19" x14ac:dyDescent="0.25">
      <c r="A6" t="s">
        <v>141</v>
      </c>
      <c r="B6" s="17"/>
      <c r="C6" s="8"/>
      <c r="D6" s="17"/>
      <c r="E6" s="8"/>
      <c r="F6" s="17"/>
      <c r="G6" s="8"/>
      <c r="H6" s="17"/>
      <c r="I6" s="8"/>
      <c r="J6" s="17"/>
      <c r="K6" s="8"/>
      <c r="L6" s="17"/>
      <c r="M6" s="8"/>
      <c r="N6" s="17"/>
      <c r="O6" s="8"/>
      <c r="P6" s="17"/>
      <c r="Q6" s="8"/>
      <c r="R6" s="18">
        <v>0.2</v>
      </c>
      <c r="S6" s="8">
        <f>R8*0.2</f>
        <v>0</v>
      </c>
    </row>
    <row r="7" spans="1:19" x14ac:dyDescent="0.25">
      <c r="A7" s="21" t="s">
        <v>145</v>
      </c>
      <c r="B7" s="17"/>
      <c r="C7" s="8"/>
      <c r="D7" s="17"/>
      <c r="E7" s="8"/>
      <c r="F7" s="17"/>
      <c r="G7" s="8"/>
      <c r="H7" s="17"/>
      <c r="I7" s="8"/>
      <c r="J7" s="17"/>
      <c r="K7" s="8"/>
      <c r="L7" s="17"/>
      <c r="M7" s="8"/>
      <c r="N7" s="17"/>
      <c r="O7" s="8"/>
      <c r="P7" s="17"/>
      <c r="Q7" s="8"/>
      <c r="R7" s="17"/>
      <c r="S7" s="8"/>
    </row>
    <row r="8" spans="1:19" x14ac:dyDescent="0.25">
      <c r="A8" s="21" t="s">
        <v>206</v>
      </c>
      <c r="B8" s="3"/>
      <c r="C8" s="4"/>
      <c r="D8" s="3"/>
      <c r="E8" s="4"/>
      <c r="F8" s="3"/>
      <c r="G8" s="4"/>
      <c r="H8" s="3"/>
      <c r="I8" s="4"/>
      <c r="J8" s="3"/>
      <c r="K8" s="4"/>
      <c r="L8" s="3"/>
      <c r="M8" s="4"/>
      <c r="N8" s="3"/>
      <c r="O8" s="4"/>
      <c r="P8" s="3"/>
      <c r="Q8" s="4"/>
      <c r="R8" s="3"/>
      <c r="S8" s="4"/>
    </row>
    <row r="9" spans="1:19" x14ac:dyDescent="0.25">
      <c r="A9" t="s">
        <v>49</v>
      </c>
      <c r="B9" s="17"/>
      <c r="C9" s="8"/>
      <c r="D9" s="17"/>
      <c r="E9" s="8"/>
      <c r="F9" s="17"/>
      <c r="G9" s="8"/>
      <c r="H9" s="17"/>
      <c r="I9" s="8"/>
      <c r="J9" s="17"/>
      <c r="K9" s="8"/>
      <c r="L9" s="17"/>
      <c r="M9" s="8"/>
      <c r="N9" s="17"/>
      <c r="O9" s="8"/>
      <c r="P9" s="17"/>
      <c r="Q9" s="8"/>
      <c r="R9" s="17"/>
      <c r="S9" s="8"/>
    </row>
    <row r="10" spans="1:19" ht="15.75" thickBot="1" x14ac:dyDescent="0.3">
      <c r="B10" s="20"/>
      <c r="C10" s="10"/>
      <c r="D10" s="20"/>
      <c r="E10" s="10"/>
      <c r="F10" s="20"/>
      <c r="G10" s="10"/>
      <c r="H10" s="20"/>
      <c r="I10" s="10"/>
      <c r="J10" s="20"/>
      <c r="K10" s="10"/>
      <c r="L10" s="20"/>
      <c r="M10" s="10"/>
      <c r="N10" s="20"/>
      <c r="O10" s="10"/>
      <c r="P10" s="20"/>
      <c r="Q10" s="10"/>
      <c r="R10" s="20"/>
      <c r="S10" s="10"/>
    </row>
    <row r="11" spans="1:19" ht="15.75" thickBot="1" x14ac:dyDescent="0.3">
      <c r="A11" t="s">
        <v>119</v>
      </c>
      <c r="B11" s="22"/>
      <c r="C11" s="23">
        <f>SUM(C2:C10)</f>
        <v>0</v>
      </c>
      <c r="D11" s="22"/>
      <c r="E11" s="23">
        <f>SUM(E2:E10)</f>
        <v>0</v>
      </c>
      <c r="F11" s="22"/>
      <c r="G11" s="23">
        <f>SUM(G2:G10)</f>
        <v>0</v>
      </c>
      <c r="H11" s="22"/>
      <c r="I11" s="23">
        <f>SUM(I2:I10)</f>
        <v>0</v>
      </c>
      <c r="J11" s="22"/>
      <c r="K11" s="23">
        <f>SUM(K2:K10)</f>
        <v>0</v>
      </c>
      <c r="L11" s="22"/>
      <c r="M11" s="23">
        <f>SUM(M2:M10)</f>
        <v>0</v>
      </c>
      <c r="N11" s="22"/>
      <c r="O11" s="23">
        <f>SUM(O2:O10)</f>
        <v>0</v>
      </c>
      <c r="P11" s="22"/>
      <c r="Q11" s="23">
        <f>SUM(Q2:Q10)</f>
        <v>0</v>
      </c>
      <c r="R11" s="22"/>
      <c r="S11" s="23">
        <f>SUM(S2:S10)</f>
        <v>0</v>
      </c>
    </row>
    <row r="12" spans="1:19" x14ac:dyDescent="0.25">
      <c r="C12" s="2"/>
      <c r="D12" s="2"/>
      <c r="E12" s="2"/>
      <c r="G12" s="2"/>
      <c r="I12" s="2"/>
      <c r="K12" s="2"/>
      <c r="M12" s="2"/>
      <c r="O12" s="2"/>
      <c r="Q12" s="2"/>
      <c r="S12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A14"/>
  <sheetViews>
    <sheetView workbookViewId="0">
      <pane xSplit="1" topLeftCell="AJ1" activePane="topRight" state="frozen"/>
      <selection pane="topRight" activeCell="AT7" sqref="AT7:AY10"/>
    </sheetView>
  </sheetViews>
  <sheetFormatPr defaultRowHeight="15" x14ac:dyDescent="0.25"/>
  <cols>
    <col min="1" max="1" width="17.28515625" bestFit="1" customWidth="1"/>
    <col min="2" max="2" width="11" bestFit="1" customWidth="1"/>
    <col min="3" max="3" width="11.5703125" bestFit="1" customWidth="1"/>
    <col min="4" max="4" width="11" bestFit="1" customWidth="1"/>
    <col min="5" max="5" width="11.5703125" bestFit="1" customWidth="1"/>
    <col min="6" max="6" width="11" bestFit="1" customWidth="1"/>
    <col min="7" max="7" width="11.5703125" bestFit="1" customWidth="1"/>
    <col min="8" max="8" width="11" bestFit="1" customWidth="1"/>
    <col min="9" max="9" width="11.5703125" bestFit="1" customWidth="1"/>
    <col min="10" max="10" width="11" bestFit="1" customWidth="1"/>
    <col min="11" max="11" width="11.5703125" bestFit="1" customWidth="1"/>
    <col min="12" max="12" width="11" bestFit="1" customWidth="1"/>
    <col min="13" max="13" width="11.5703125" bestFit="1" customWidth="1"/>
    <col min="14" max="14" width="11" bestFit="1" customWidth="1"/>
    <col min="15" max="15" width="11.5703125" bestFit="1" customWidth="1"/>
    <col min="16" max="16" width="11" bestFit="1" customWidth="1"/>
    <col min="17" max="17" width="11.5703125" bestFit="1" customWidth="1"/>
    <col min="18" max="18" width="11" bestFit="1" customWidth="1"/>
    <col min="19" max="19" width="11.5703125" bestFit="1" customWidth="1"/>
    <col min="20" max="20" width="11" bestFit="1" customWidth="1"/>
    <col min="21" max="21" width="11.5703125" bestFit="1" customWidth="1"/>
    <col min="22" max="22" width="11" bestFit="1" customWidth="1"/>
    <col min="23" max="23" width="11.5703125" bestFit="1" customWidth="1"/>
    <col min="24" max="24" width="11" bestFit="1" customWidth="1"/>
    <col min="25" max="25" width="11.5703125" bestFit="1" customWidth="1"/>
    <col min="26" max="26" width="11" bestFit="1" customWidth="1"/>
    <col min="27" max="27" width="11.5703125" bestFit="1" customWidth="1"/>
    <col min="28" max="28" width="11" bestFit="1" customWidth="1"/>
    <col min="29" max="29" width="11.5703125" bestFit="1" customWidth="1"/>
    <col min="30" max="30" width="11" bestFit="1" customWidth="1"/>
    <col min="31" max="31" width="11.5703125" bestFit="1" customWidth="1"/>
    <col min="32" max="32" width="11" bestFit="1" customWidth="1"/>
    <col min="33" max="33" width="11.5703125" bestFit="1" customWidth="1"/>
    <col min="34" max="34" width="11" bestFit="1" customWidth="1"/>
    <col min="35" max="35" width="11.5703125" bestFit="1" customWidth="1"/>
    <col min="36" max="36" width="11" bestFit="1" customWidth="1"/>
    <col min="37" max="37" width="11.5703125" bestFit="1" customWidth="1"/>
    <col min="38" max="38" width="11" bestFit="1" customWidth="1"/>
    <col min="39" max="39" width="11.5703125" bestFit="1" customWidth="1"/>
    <col min="40" max="40" width="11" bestFit="1" customWidth="1"/>
    <col min="41" max="41" width="11.5703125" bestFit="1" customWidth="1"/>
    <col min="42" max="42" width="11" bestFit="1" customWidth="1"/>
    <col min="43" max="43" width="11.5703125" bestFit="1" customWidth="1"/>
    <col min="44" max="44" width="11" bestFit="1" customWidth="1"/>
    <col min="45" max="45" width="11.5703125" bestFit="1" customWidth="1"/>
    <col min="46" max="46" width="11" bestFit="1" customWidth="1"/>
    <col min="47" max="47" width="11.5703125" bestFit="1" customWidth="1"/>
    <col min="48" max="48" width="11" bestFit="1" customWidth="1"/>
    <col min="49" max="49" width="11.5703125" bestFit="1" customWidth="1"/>
    <col min="50" max="50" width="11" bestFit="1" customWidth="1"/>
    <col min="51" max="51" width="11.5703125" bestFit="1" customWidth="1"/>
    <col min="52" max="52" width="11" bestFit="1" customWidth="1"/>
    <col min="53" max="53" width="11.5703125" bestFit="1" customWidth="1"/>
  </cols>
  <sheetData>
    <row r="1" spans="1:53" ht="15.75" x14ac:dyDescent="0.25">
      <c r="A1" s="12" t="s">
        <v>106</v>
      </c>
      <c r="B1" s="13" t="s">
        <v>185</v>
      </c>
      <c r="C1" s="14"/>
      <c r="D1" s="13" t="s">
        <v>189</v>
      </c>
      <c r="E1" s="14"/>
      <c r="F1" s="13" t="s">
        <v>138</v>
      </c>
      <c r="G1" s="14"/>
      <c r="H1" s="13" t="s">
        <v>203</v>
      </c>
      <c r="I1" s="14"/>
      <c r="J1" s="13" t="s">
        <v>122</v>
      </c>
      <c r="K1" s="14"/>
      <c r="L1" s="13" t="s">
        <v>128</v>
      </c>
      <c r="M1" s="14"/>
      <c r="N1" s="13" t="s">
        <v>132</v>
      </c>
      <c r="O1" s="14"/>
      <c r="P1" s="13" t="s">
        <v>192</v>
      </c>
      <c r="Q1" s="14"/>
      <c r="R1" s="13" t="s">
        <v>134</v>
      </c>
      <c r="S1" s="14"/>
      <c r="T1" s="13" t="s">
        <v>207</v>
      </c>
      <c r="U1" s="14"/>
      <c r="V1" s="13" t="s">
        <v>136</v>
      </c>
      <c r="W1" s="14"/>
      <c r="X1" s="13" t="s">
        <v>181</v>
      </c>
      <c r="Y1" s="14"/>
      <c r="Z1" s="13" t="s">
        <v>182</v>
      </c>
      <c r="AA1" s="14"/>
      <c r="AB1" s="13" t="s">
        <v>137</v>
      </c>
      <c r="AC1" s="14"/>
      <c r="AD1" s="13" t="s">
        <v>191</v>
      </c>
      <c r="AE1" s="14"/>
      <c r="AF1" s="13" t="s">
        <v>139</v>
      </c>
      <c r="AG1" s="14"/>
      <c r="AH1" s="13" t="s">
        <v>201</v>
      </c>
      <c r="AI1" s="14"/>
      <c r="AJ1" s="13" t="s">
        <v>202</v>
      </c>
      <c r="AK1" s="14"/>
      <c r="AL1" s="13" t="s">
        <v>164</v>
      </c>
      <c r="AM1" s="14"/>
      <c r="AN1" s="13" t="s">
        <v>165</v>
      </c>
      <c r="AO1" s="14"/>
      <c r="AP1" s="13" t="s">
        <v>210</v>
      </c>
      <c r="AQ1" s="14"/>
      <c r="AR1" s="13" t="s">
        <v>199</v>
      </c>
      <c r="AS1" s="14"/>
      <c r="AT1" s="13" t="s">
        <v>161</v>
      </c>
      <c r="AU1" s="14"/>
      <c r="AV1" s="13" t="s">
        <v>162</v>
      </c>
      <c r="AW1" s="14"/>
      <c r="AX1" s="13" t="s">
        <v>166</v>
      </c>
      <c r="AY1" s="14"/>
      <c r="AZ1" s="13" t="s">
        <v>133</v>
      </c>
      <c r="BA1" s="14"/>
    </row>
    <row r="2" spans="1:53" x14ac:dyDescent="0.25">
      <c r="A2" t="s">
        <v>46</v>
      </c>
      <c r="B2" s="17"/>
      <c r="C2" s="28"/>
      <c r="D2" s="17"/>
      <c r="E2" s="28"/>
      <c r="F2" s="17"/>
      <c r="G2" s="4"/>
      <c r="H2" s="17"/>
      <c r="I2" s="4"/>
      <c r="J2" s="17"/>
      <c r="K2" s="28"/>
      <c r="L2" s="17"/>
      <c r="M2" s="4"/>
      <c r="N2" s="17"/>
      <c r="O2" s="4"/>
      <c r="P2" s="17"/>
      <c r="Q2" s="4"/>
      <c r="R2" s="17"/>
      <c r="S2" s="4"/>
      <c r="T2" s="17"/>
      <c r="U2" s="4"/>
      <c r="V2" s="17"/>
      <c r="W2" s="4"/>
      <c r="X2" s="17"/>
      <c r="Y2" s="4"/>
      <c r="Z2" s="17"/>
      <c r="AA2" s="4"/>
      <c r="AB2" s="17"/>
      <c r="AC2" s="4"/>
      <c r="AD2" s="17"/>
      <c r="AE2" s="4"/>
      <c r="AF2" s="17"/>
      <c r="AG2" s="4"/>
      <c r="AH2" s="17"/>
      <c r="AI2" s="4"/>
      <c r="AJ2" s="17"/>
      <c r="AK2" s="4"/>
      <c r="AL2" s="17"/>
      <c r="AM2" s="4"/>
      <c r="AN2" s="17"/>
      <c r="AO2" s="4"/>
      <c r="AP2" s="17"/>
      <c r="AQ2" s="4"/>
      <c r="AR2" s="17"/>
      <c r="AS2" s="4"/>
      <c r="AT2" s="17"/>
      <c r="AU2" s="4"/>
      <c r="AV2" s="17"/>
      <c r="AW2" s="4"/>
      <c r="AX2" s="17"/>
      <c r="AY2" s="4"/>
      <c r="AZ2" s="17"/>
      <c r="BA2" s="4"/>
    </row>
    <row r="3" spans="1:53" x14ac:dyDescent="0.25">
      <c r="A3" t="s">
        <v>45</v>
      </c>
      <c r="B3" s="32"/>
      <c r="C3" s="28"/>
      <c r="D3" s="32"/>
      <c r="E3" s="28"/>
      <c r="F3" s="32"/>
      <c r="G3" s="28"/>
      <c r="H3" s="32"/>
      <c r="I3" s="28"/>
      <c r="J3" s="32"/>
      <c r="K3" s="28"/>
      <c r="L3" s="32"/>
      <c r="M3" s="28"/>
      <c r="N3" s="32"/>
      <c r="O3" s="28"/>
      <c r="P3" s="32"/>
      <c r="Q3" s="28"/>
      <c r="R3" s="32"/>
      <c r="S3" s="28"/>
      <c r="T3" s="32"/>
      <c r="U3" s="28"/>
      <c r="V3" s="32"/>
      <c r="W3" s="28"/>
      <c r="X3" s="32"/>
      <c r="Y3" s="28"/>
      <c r="Z3" s="32"/>
      <c r="AA3" s="28"/>
      <c r="AB3" s="32"/>
      <c r="AC3" s="28"/>
      <c r="AD3" s="32"/>
      <c r="AE3" s="28"/>
      <c r="AF3" s="32"/>
      <c r="AG3" s="28"/>
      <c r="AH3" s="32"/>
      <c r="AI3" s="28"/>
      <c r="AJ3" s="32"/>
      <c r="AK3" s="28"/>
      <c r="AL3" s="32"/>
      <c r="AM3" s="28"/>
      <c r="AN3" s="32"/>
      <c r="AO3" s="28"/>
      <c r="AP3" s="32"/>
      <c r="AQ3" s="28"/>
      <c r="AR3" s="32"/>
      <c r="AS3" s="28"/>
      <c r="AT3" s="32"/>
      <c r="AU3" s="28"/>
      <c r="AV3" s="32"/>
      <c r="AW3" s="28"/>
      <c r="AX3" s="32"/>
      <c r="AY3" s="28"/>
      <c r="AZ3" s="32"/>
      <c r="BA3" s="28"/>
    </row>
    <row r="4" spans="1:53" x14ac:dyDescent="0.25">
      <c r="A4" s="21">
        <v>0.3</v>
      </c>
      <c r="B4" s="32"/>
      <c r="C4" s="28">
        <f>B10*0.3</f>
        <v>0</v>
      </c>
      <c r="D4" s="32"/>
      <c r="E4" s="28">
        <f t="shared" ref="E4" si="0">D10*0.3</f>
        <v>0</v>
      </c>
      <c r="F4" s="32"/>
      <c r="G4" s="28">
        <f t="shared" ref="G4" si="1">F10*0.3</f>
        <v>0</v>
      </c>
      <c r="H4" s="32"/>
      <c r="I4" s="28">
        <f t="shared" ref="I4" si="2">H10*0.3</f>
        <v>0</v>
      </c>
      <c r="J4" s="32"/>
      <c r="K4" s="28">
        <f t="shared" ref="K4" si="3">J10*0.3</f>
        <v>0</v>
      </c>
      <c r="L4" s="32"/>
      <c r="M4" s="28">
        <f t="shared" ref="M4" si="4">L10*0.3</f>
        <v>0</v>
      </c>
      <c r="N4" s="32"/>
      <c r="O4" s="28">
        <f t="shared" ref="O4" si="5">N10*0.3</f>
        <v>0</v>
      </c>
      <c r="P4" s="32"/>
      <c r="Q4" s="28">
        <f t="shared" ref="Q4:AO4" si="6">P10*0.3</f>
        <v>0</v>
      </c>
      <c r="R4" s="32"/>
      <c r="S4" s="28">
        <f t="shared" si="6"/>
        <v>0</v>
      </c>
      <c r="T4" s="32"/>
      <c r="U4" s="28">
        <f t="shared" ref="U4" si="7">T10*0.3</f>
        <v>0</v>
      </c>
      <c r="V4" s="32"/>
      <c r="W4" s="28">
        <f t="shared" si="6"/>
        <v>0</v>
      </c>
      <c r="X4" s="32"/>
      <c r="Y4" s="28">
        <f t="shared" si="6"/>
        <v>0</v>
      </c>
      <c r="Z4" s="32"/>
      <c r="AA4" s="28">
        <f t="shared" si="6"/>
        <v>0</v>
      </c>
      <c r="AB4" s="32"/>
      <c r="AC4" s="28">
        <f t="shared" si="6"/>
        <v>0</v>
      </c>
      <c r="AD4" s="32"/>
      <c r="AE4" s="28">
        <f t="shared" si="6"/>
        <v>0</v>
      </c>
      <c r="AF4" s="32"/>
      <c r="AG4" s="28">
        <f t="shared" si="6"/>
        <v>0</v>
      </c>
      <c r="AH4" s="32"/>
      <c r="AI4" s="28">
        <f>AF10*0.3</f>
        <v>0</v>
      </c>
      <c r="AJ4" s="32"/>
      <c r="AK4" s="28">
        <f>AH10*0.3</f>
        <v>0</v>
      </c>
      <c r="AL4" s="32"/>
      <c r="AM4" s="28"/>
      <c r="AN4" s="32"/>
      <c r="AO4" s="28">
        <f t="shared" si="6"/>
        <v>0</v>
      </c>
      <c r="AP4" s="32"/>
      <c r="AQ4" s="28">
        <f t="shared" ref="AQ4" si="8">AP10*0.3</f>
        <v>0</v>
      </c>
      <c r="AR4" s="32"/>
      <c r="AS4" s="28">
        <f t="shared" ref="AS4" si="9">AR10*0.3</f>
        <v>0</v>
      </c>
      <c r="AT4" s="32"/>
      <c r="AU4" s="28"/>
      <c r="AV4" s="32"/>
      <c r="AW4" s="28"/>
      <c r="AX4" s="32"/>
      <c r="AY4" s="28"/>
      <c r="AZ4" s="32"/>
      <c r="BA4" s="28"/>
    </row>
    <row r="5" spans="1:53" x14ac:dyDescent="0.25">
      <c r="A5" t="s">
        <v>190</v>
      </c>
      <c r="B5" s="32"/>
      <c r="C5" s="28"/>
      <c r="D5" s="32"/>
      <c r="E5" s="28"/>
      <c r="F5" s="32"/>
      <c r="G5" s="28"/>
      <c r="H5" s="32"/>
      <c r="I5" s="28"/>
      <c r="J5" s="32"/>
      <c r="K5" s="28"/>
      <c r="L5" s="32"/>
      <c r="M5" s="28"/>
      <c r="N5" s="32"/>
      <c r="O5" s="28"/>
      <c r="P5" s="32"/>
      <c r="Q5" s="28"/>
      <c r="R5" s="32"/>
      <c r="S5" s="28"/>
      <c r="T5" s="32"/>
      <c r="U5" s="28"/>
      <c r="V5" s="32"/>
      <c r="W5" s="28"/>
      <c r="X5" s="32"/>
      <c r="Y5" s="28"/>
      <c r="Z5" s="32"/>
      <c r="AA5" s="28"/>
      <c r="AB5" s="32"/>
      <c r="AC5" s="28"/>
      <c r="AD5" s="32"/>
      <c r="AE5" s="28"/>
      <c r="AF5" s="32"/>
      <c r="AG5" s="28"/>
      <c r="AH5" s="32"/>
      <c r="AI5" s="28"/>
      <c r="AJ5" s="32"/>
      <c r="AK5" s="28"/>
      <c r="AL5" s="32"/>
      <c r="AM5" s="28"/>
      <c r="AN5" s="32"/>
      <c r="AO5" s="28"/>
      <c r="AP5" s="32"/>
      <c r="AQ5" s="28"/>
      <c r="AR5" s="32"/>
      <c r="AS5" s="28"/>
      <c r="AT5" s="32"/>
      <c r="AU5" s="28"/>
      <c r="AV5" s="32"/>
      <c r="AW5" s="28"/>
      <c r="AX5" s="32"/>
      <c r="AY5" s="28"/>
      <c r="AZ5" s="32"/>
      <c r="BA5" s="28"/>
    </row>
    <row r="6" spans="1:53" x14ac:dyDescent="0.25">
      <c r="A6" t="s">
        <v>49</v>
      </c>
      <c r="B6" s="32"/>
      <c r="C6" s="28"/>
      <c r="D6" s="32"/>
      <c r="E6" s="28"/>
      <c r="F6" s="32"/>
      <c r="G6" s="28"/>
      <c r="H6" s="32"/>
      <c r="I6" s="28"/>
      <c r="J6" s="32"/>
      <c r="K6" s="28"/>
      <c r="L6" s="32"/>
      <c r="M6" s="28"/>
      <c r="N6" s="32"/>
      <c r="O6" s="28"/>
      <c r="P6" s="32"/>
      <c r="Q6" s="28"/>
      <c r="R6" s="32"/>
      <c r="S6" s="28"/>
      <c r="T6" s="32"/>
      <c r="U6" s="28"/>
      <c r="V6" s="32"/>
      <c r="W6" s="28"/>
      <c r="X6" s="32"/>
      <c r="Y6" s="28"/>
      <c r="Z6" s="32"/>
      <c r="AA6" s="28"/>
      <c r="AB6" s="32"/>
      <c r="AC6" s="28"/>
      <c r="AD6" s="32"/>
      <c r="AE6" s="28"/>
      <c r="AF6" s="32"/>
      <c r="AG6" s="28"/>
      <c r="AH6" s="32"/>
      <c r="AI6" s="28"/>
      <c r="AJ6" s="32"/>
      <c r="AK6" s="28"/>
      <c r="AL6" s="32"/>
      <c r="AM6" s="28"/>
      <c r="AN6" s="32"/>
      <c r="AO6" s="28"/>
      <c r="AP6" s="32"/>
      <c r="AQ6" s="28"/>
      <c r="AR6" s="32"/>
      <c r="AS6" s="28"/>
      <c r="AT6" s="32"/>
      <c r="AU6" s="28"/>
      <c r="AV6" s="32"/>
      <c r="AW6" s="28"/>
      <c r="AX6" s="32"/>
      <c r="AY6" s="28"/>
      <c r="AZ6" s="32"/>
      <c r="BA6" s="28"/>
    </row>
    <row r="7" spans="1:53" x14ac:dyDescent="0.25">
      <c r="A7" t="s">
        <v>141</v>
      </c>
      <c r="B7" s="32"/>
      <c r="C7" s="28"/>
      <c r="D7" s="32"/>
      <c r="E7" s="28"/>
      <c r="F7" s="32"/>
      <c r="G7" s="28"/>
      <c r="H7" s="32"/>
      <c r="I7" s="28"/>
      <c r="J7" s="32"/>
      <c r="K7" s="28"/>
      <c r="L7" s="32"/>
      <c r="M7" s="28"/>
      <c r="N7" s="32"/>
      <c r="O7" s="28"/>
      <c r="P7" s="32"/>
      <c r="Q7" s="28"/>
      <c r="R7" s="32"/>
      <c r="S7" s="28">
        <v>5000</v>
      </c>
      <c r="T7" s="32"/>
      <c r="U7" s="28"/>
      <c r="V7" s="32"/>
      <c r="W7" s="28"/>
      <c r="X7" s="32"/>
      <c r="Y7" s="28"/>
      <c r="Z7" s="32"/>
      <c r="AA7" s="28"/>
      <c r="AB7" s="32"/>
      <c r="AC7" s="28"/>
      <c r="AD7" s="32"/>
      <c r="AE7" s="28"/>
      <c r="AF7" s="32"/>
      <c r="AG7" s="28"/>
      <c r="AH7" s="32"/>
      <c r="AI7" s="28"/>
      <c r="AJ7" s="32"/>
      <c r="AK7" s="28"/>
      <c r="AL7" s="32"/>
      <c r="AM7" s="28"/>
      <c r="AN7" s="32"/>
      <c r="AO7" s="28"/>
      <c r="AP7" s="32"/>
      <c r="AQ7" s="28"/>
      <c r="AR7" s="32"/>
      <c r="AS7" s="28"/>
      <c r="AT7" s="32"/>
      <c r="AU7" s="28"/>
      <c r="AV7" s="32"/>
      <c r="AW7" s="28"/>
      <c r="AX7" s="32"/>
      <c r="AY7" s="28"/>
      <c r="AZ7" s="32"/>
      <c r="BA7" s="28"/>
    </row>
    <row r="8" spans="1:53" x14ac:dyDescent="0.25">
      <c r="B8" s="32"/>
      <c r="C8" s="28"/>
      <c r="D8" s="32"/>
      <c r="E8" s="28"/>
      <c r="F8" s="32"/>
      <c r="G8" s="28"/>
      <c r="H8" s="32"/>
      <c r="I8" s="28"/>
      <c r="J8" s="32"/>
      <c r="K8" s="28"/>
      <c r="L8" s="32"/>
      <c r="M8" s="28"/>
      <c r="N8" s="32"/>
      <c r="O8" s="28"/>
      <c r="P8" s="32"/>
      <c r="Q8" s="28"/>
      <c r="R8" s="32"/>
      <c r="S8" s="28"/>
      <c r="T8" s="32"/>
      <c r="U8" s="28"/>
      <c r="V8" s="32"/>
      <c r="W8" s="28"/>
      <c r="X8" s="32"/>
      <c r="Y8" s="28"/>
      <c r="Z8" s="32"/>
      <c r="AA8" s="28"/>
      <c r="AB8" s="32"/>
      <c r="AC8" s="28"/>
      <c r="AD8" s="32"/>
      <c r="AE8" s="28"/>
      <c r="AF8" s="32"/>
      <c r="AG8" s="28"/>
      <c r="AH8" s="32"/>
      <c r="AI8" s="28"/>
      <c r="AJ8" s="32"/>
      <c r="AK8" s="28"/>
      <c r="AL8" s="32"/>
      <c r="AM8" s="28"/>
      <c r="AN8" s="32"/>
      <c r="AO8" s="28"/>
      <c r="AP8" s="32"/>
      <c r="AQ8" s="28"/>
      <c r="AR8" s="32"/>
      <c r="AS8" s="28"/>
      <c r="AT8" s="32"/>
      <c r="AU8" s="28"/>
      <c r="AV8" s="32"/>
      <c r="AW8" s="28"/>
      <c r="AX8" s="32"/>
      <c r="AY8" s="28"/>
      <c r="AZ8" s="32"/>
      <c r="BA8" s="28"/>
    </row>
    <row r="9" spans="1:53" x14ac:dyDescent="0.25">
      <c r="A9" t="s">
        <v>183</v>
      </c>
      <c r="B9" s="32"/>
      <c r="C9" s="28"/>
      <c r="D9" s="32"/>
      <c r="E9" s="28"/>
      <c r="F9" s="32"/>
      <c r="G9" s="28"/>
      <c r="H9" s="32"/>
      <c r="I9" s="28"/>
      <c r="J9" s="32"/>
      <c r="K9" s="28"/>
      <c r="L9" s="32"/>
      <c r="M9" s="28"/>
      <c r="N9" s="32"/>
      <c r="O9" s="28"/>
      <c r="P9" s="32"/>
      <c r="Q9" s="28"/>
      <c r="R9" s="32"/>
      <c r="S9" s="28"/>
      <c r="T9" s="32"/>
      <c r="U9" s="28"/>
      <c r="V9" s="32"/>
      <c r="W9" s="28"/>
      <c r="X9" s="32" t="s">
        <v>184</v>
      </c>
      <c r="Y9" s="28">
        <v>700</v>
      </c>
      <c r="Z9" s="32"/>
      <c r="AA9" s="28"/>
      <c r="AB9" s="32"/>
      <c r="AC9" s="28"/>
      <c r="AD9" s="32"/>
      <c r="AE9" s="28"/>
      <c r="AF9" s="32"/>
      <c r="AG9" s="28"/>
      <c r="AH9" s="32"/>
      <c r="AI9" s="28"/>
      <c r="AJ9" s="32"/>
      <c r="AK9" s="28"/>
      <c r="AL9" s="32"/>
      <c r="AM9" s="28"/>
      <c r="AN9" s="32"/>
      <c r="AO9" s="28"/>
      <c r="AP9" s="32"/>
      <c r="AQ9" s="28"/>
      <c r="AR9" s="32"/>
      <c r="AS9" s="28"/>
      <c r="AT9" s="40"/>
      <c r="AU9" s="28"/>
      <c r="AV9" s="40"/>
      <c r="AW9" s="28"/>
      <c r="AX9" s="32"/>
      <c r="AY9" s="28"/>
      <c r="AZ9" s="32"/>
      <c r="BA9" s="28"/>
    </row>
    <row r="10" spans="1:53" x14ac:dyDescent="0.25">
      <c r="A10" t="s">
        <v>195</v>
      </c>
      <c r="B10" s="32"/>
      <c r="C10" s="28"/>
      <c r="D10" s="32"/>
      <c r="E10" s="28"/>
      <c r="F10" s="32"/>
      <c r="G10" s="28"/>
      <c r="H10" s="32"/>
      <c r="I10" s="28"/>
      <c r="J10" s="32"/>
      <c r="K10" s="28"/>
      <c r="L10" s="32"/>
      <c r="M10" s="28"/>
      <c r="N10" s="32"/>
      <c r="O10" s="28"/>
      <c r="P10" s="32"/>
      <c r="Q10" s="28"/>
      <c r="R10" s="32"/>
      <c r="S10" s="28"/>
      <c r="T10" s="32"/>
      <c r="U10" s="28"/>
      <c r="V10" s="32"/>
      <c r="W10" s="28"/>
      <c r="X10" s="32"/>
      <c r="Y10" s="28"/>
      <c r="Z10" s="32"/>
      <c r="AA10" s="28"/>
      <c r="AB10" s="32"/>
      <c r="AC10" s="28"/>
      <c r="AD10" s="32"/>
      <c r="AE10" s="28"/>
      <c r="AF10" s="32"/>
      <c r="AG10" s="28"/>
      <c r="AH10" s="32"/>
      <c r="AI10" s="28"/>
      <c r="AJ10" s="32"/>
      <c r="AK10" s="28"/>
      <c r="AL10" s="32"/>
      <c r="AM10" s="28"/>
      <c r="AN10" s="32"/>
      <c r="AO10" s="28"/>
      <c r="AP10" s="32"/>
      <c r="AQ10" s="28"/>
      <c r="AR10" s="32"/>
      <c r="AS10" s="28"/>
      <c r="AT10" s="32"/>
      <c r="AU10" s="28"/>
      <c r="AV10" s="32"/>
      <c r="AW10" s="28"/>
      <c r="AX10" s="32"/>
      <c r="AY10" s="28"/>
      <c r="AZ10" s="32"/>
      <c r="BA10" s="28"/>
    </row>
    <row r="11" spans="1:53" ht="15.75" thickBot="1" x14ac:dyDescent="0.3">
      <c r="A11" t="s">
        <v>117</v>
      </c>
      <c r="B11" s="33"/>
      <c r="C11" s="29"/>
      <c r="D11" s="33"/>
      <c r="E11" s="29"/>
      <c r="F11" s="33"/>
      <c r="G11" s="29"/>
      <c r="H11" s="33"/>
      <c r="I11" s="29"/>
      <c r="J11" s="33"/>
      <c r="K11" s="29"/>
      <c r="L11" s="33"/>
      <c r="M11" s="29"/>
      <c r="N11" s="33"/>
      <c r="O11" s="29"/>
      <c r="P11" s="33"/>
      <c r="Q11" s="29"/>
      <c r="R11" s="33"/>
      <c r="S11" s="29"/>
      <c r="T11" s="33"/>
      <c r="U11" s="29"/>
      <c r="V11" s="33"/>
      <c r="W11" s="29"/>
      <c r="X11" s="33"/>
      <c r="Y11" s="29"/>
      <c r="Z11" s="33"/>
      <c r="AA11" s="29"/>
      <c r="AB11" s="33"/>
      <c r="AC11" s="29"/>
      <c r="AD11" s="33"/>
      <c r="AE11" s="29"/>
      <c r="AF11" s="33"/>
      <c r="AG11" s="29"/>
      <c r="AH11" s="33"/>
      <c r="AI11" s="29"/>
      <c r="AJ11" s="33"/>
      <c r="AK11" s="29"/>
      <c r="AL11" s="33"/>
      <c r="AM11" s="29"/>
      <c r="AN11" s="33"/>
      <c r="AO11" s="29"/>
      <c r="AP11" s="33"/>
      <c r="AQ11" s="29"/>
      <c r="AR11" s="33"/>
      <c r="AS11" s="29"/>
      <c r="AT11" s="33"/>
      <c r="AU11" s="29"/>
      <c r="AV11" s="33"/>
      <c r="AW11" s="29"/>
      <c r="AX11" s="33"/>
      <c r="AY11" s="29"/>
      <c r="AZ11" s="33"/>
      <c r="BA11" s="29"/>
    </row>
    <row r="12" spans="1:53" x14ac:dyDescent="0.25">
      <c r="A12" t="s">
        <v>119</v>
      </c>
      <c r="B12" s="30"/>
      <c r="C12" s="35">
        <f>SUM(C2:C11)</f>
        <v>0</v>
      </c>
      <c r="D12" s="30"/>
      <c r="E12" s="35">
        <f>SUM(E2:E11)</f>
        <v>0</v>
      </c>
      <c r="F12" s="30"/>
      <c r="G12" s="35">
        <f>SUM(G2:G11)</f>
        <v>0</v>
      </c>
      <c r="H12" s="30"/>
      <c r="I12" s="35">
        <f>SUM(I2:I11)</f>
        <v>0</v>
      </c>
      <c r="J12" s="30"/>
      <c r="K12" s="35">
        <f>SUM(K2:K11)</f>
        <v>0</v>
      </c>
      <c r="L12" s="30"/>
      <c r="M12" s="35">
        <f>SUM(M2:M11)</f>
        <v>0</v>
      </c>
      <c r="N12" s="30"/>
      <c r="O12" s="35">
        <f>SUM(O2:O11)</f>
        <v>0</v>
      </c>
      <c r="P12" s="30"/>
      <c r="Q12" s="35">
        <f>SUM(Q2:Q11)</f>
        <v>0</v>
      </c>
      <c r="R12" s="30"/>
      <c r="S12" s="35">
        <f>SUM(S2:S11)</f>
        <v>5000</v>
      </c>
      <c r="T12" s="30"/>
      <c r="U12" s="35">
        <f>SUM(U2:U11)</f>
        <v>0</v>
      </c>
      <c r="V12" s="30"/>
      <c r="W12" s="35">
        <f>SUM(W2:W11)</f>
        <v>0</v>
      </c>
      <c r="X12" s="30"/>
      <c r="Y12" s="35">
        <f>SUM(Y2:Y11)</f>
        <v>700</v>
      </c>
      <c r="Z12" s="30"/>
      <c r="AA12" s="35">
        <f>SUM(AA2:AA11)</f>
        <v>0</v>
      </c>
      <c r="AB12" s="30"/>
      <c r="AC12" s="35">
        <f>SUM(AC2:AC11)</f>
        <v>0</v>
      </c>
      <c r="AD12" s="30"/>
      <c r="AE12" s="35">
        <f>SUM(AE2:AE11)</f>
        <v>0</v>
      </c>
      <c r="AF12" s="30"/>
      <c r="AG12" s="35">
        <f>SUM(AG2:AG11)</f>
        <v>0</v>
      </c>
      <c r="AH12" s="30"/>
      <c r="AI12" s="35">
        <f>SUM(AI2:AI11)</f>
        <v>0</v>
      </c>
      <c r="AJ12" s="30"/>
      <c r="AK12" s="35">
        <f>SUM(AK2:AK11)</f>
        <v>0</v>
      </c>
      <c r="AL12" s="30"/>
      <c r="AM12" s="35">
        <f>SUM(AM2:AM11)</f>
        <v>0</v>
      </c>
      <c r="AN12" s="30"/>
      <c r="AO12" s="35">
        <f>SUM(AO2:AO11)</f>
        <v>0</v>
      </c>
      <c r="AP12" s="30"/>
      <c r="AQ12" s="35">
        <f>SUM(AQ2:AQ11)</f>
        <v>0</v>
      </c>
      <c r="AR12" s="30"/>
      <c r="AS12" s="35">
        <f>SUM(AS2:AS11)</f>
        <v>0</v>
      </c>
      <c r="AT12" s="30"/>
      <c r="AU12" s="35">
        <f>SUM(AU2:AU11)</f>
        <v>0</v>
      </c>
      <c r="AV12" s="30"/>
      <c r="AW12" s="35">
        <f>SUM(AW2:AW11)</f>
        <v>0</v>
      </c>
      <c r="AX12" s="30"/>
      <c r="AY12" s="35">
        <f>SUM(AY2:AY11)</f>
        <v>0</v>
      </c>
      <c r="AZ12" s="30"/>
      <c r="BA12" s="35">
        <f>SUM(BA2:BA11)</f>
        <v>0</v>
      </c>
    </row>
    <row r="13" spans="1:53" ht="15.75" thickBot="1" x14ac:dyDescent="0.3"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</row>
    <row r="14" spans="1:53" ht="15.75" thickBot="1" x14ac:dyDescent="0.3">
      <c r="A14" t="s">
        <v>118</v>
      </c>
      <c r="B14" s="34"/>
      <c r="C14" s="36"/>
      <c r="D14" s="37"/>
      <c r="E14" s="36"/>
      <c r="F14" s="37"/>
      <c r="G14" s="36"/>
      <c r="H14" s="37"/>
      <c r="I14" s="36"/>
      <c r="J14" s="34"/>
      <c r="K14" s="31"/>
      <c r="L14" s="34"/>
      <c r="M14" s="31"/>
      <c r="N14" s="34"/>
      <c r="O14" s="31"/>
      <c r="P14" s="34"/>
      <c r="Q14" s="31"/>
      <c r="R14" s="34"/>
      <c r="S14" s="31"/>
      <c r="T14" s="34"/>
      <c r="U14" s="31"/>
      <c r="V14" s="34"/>
      <c r="W14" s="31"/>
      <c r="X14" s="34"/>
      <c r="Y14" s="31"/>
      <c r="Z14" s="34"/>
      <c r="AA14" s="31"/>
      <c r="AB14" s="34"/>
      <c r="AC14" s="31"/>
      <c r="AD14" s="34"/>
      <c r="AE14" s="31"/>
      <c r="AF14" s="34"/>
      <c r="AG14" s="31"/>
      <c r="AH14" s="34"/>
      <c r="AI14" s="31"/>
      <c r="AJ14" s="34"/>
      <c r="AK14" s="31"/>
      <c r="AL14" s="34"/>
      <c r="AM14" s="31"/>
      <c r="AN14" s="34"/>
      <c r="AO14" s="31"/>
      <c r="AP14" s="34"/>
      <c r="AQ14" s="31"/>
      <c r="AR14" s="37"/>
      <c r="AS14" s="36"/>
      <c r="AT14" s="34"/>
      <c r="AU14" s="31"/>
      <c r="AV14" s="34"/>
      <c r="AW14" s="31"/>
      <c r="AX14" s="34"/>
      <c r="AY14" s="31"/>
      <c r="AZ14" s="34"/>
      <c r="BA14" s="31"/>
    </row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selection activeCell="G16" sqref="G16"/>
    </sheetView>
  </sheetViews>
  <sheetFormatPr defaultRowHeight="15" x14ac:dyDescent="0.25"/>
  <cols>
    <col min="1" max="1" width="17.28515625" bestFit="1" customWidth="1"/>
    <col min="2" max="2" width="11" bestFit="1" customWidth="1"/>
    <col min="3" max="3" width="11.5703125" bestFit="1" customWidth="1"/>
    <col min="4" max="4" width="11" bestFit="1" customWidth="1"/>
    <col min="5" max="5" width="11.5703125" bestFit="1" customWidth="1"/>
    <col min="6" max="6" width="11" bestFit="1" customWidth="1"/>
    <col min="7" max="7" width="11.5703125" bestFit="1" customWidth="1"/>
    <col min="8" max="8" width="11" bestFit="1" customWidth="1"/>
    <col min="9" max="9" width="11.5703125" bestFit="1" customWidth="1"/>
  </cols>
  <sheetData>
    <row r="1" spans="1:9" ht="15.75" x14ac:dyDescent="0.25">
      <c r="A1" s="12" t="s">
        <v>106</v>
      </c>
      <c r="B1" s="24" t="s">
        <v>157</v>
      </c>
      <c r="C1" s="14"/>
      <c r="D1" s="13" t="s">
        <v>156</v>
      </c>
      <c r="E1" s="14"/>
      <c r="F1" s="24" t="s">
        <v>158</v>
      </c>
      <c r="G1" s="14"/>
      <c r="H1" s="24"/>
      <c r="I1" s="14"/>
    </row>
    <row r="2" spans="1:9" x14ac:dyDescent="0.25">
      <c r="A2" t="s">
        <v>46</v>
      </c>
      <c r="B2" s="32"/>
      <c r="C2" s="28">
        <f>B2*600</f>
        <v>0</v>
      </c>
      <c r="D2" s="32"/>
      <c r="E2" s="28">
        <f t="shared" ref="E2" si="0">D2*600</f>
        <v>0</v>
      </c>
      <c r="F2" s="32"/>
      <c r="G2" s="28">
        <f t="shared" ref="G2" si="1">F2*600</f>
        <v>0</v>
      </c>
      <c r="H2" s="17"/>
      <c r="I2" s="4">
        <f t="shared" ref="I2" si="2">H2*600</f>
        <v>0</v>
      </c>
    </row>
    <row r="3" spans="1:9" x14ac:dyDescent="0.25">
      <c r="A3" t="s">
        <v>149</v>
      </c>
      <c r="B3" s="32"/>
      <c r="C3" s="28">
        <f>B3*400</f>
        <v>0</v>
      </c>
      <c r="D3" s="32"/>
      <c r="E3" s="28">
        <f t="shared" ref="E3" si="3">D3*400</f>
        <v>0</v>
      </c>
      <c r="F3" s="32"/>
      <c r="G3" s="28">
        <f t="shared" ref="G3" si="4">F3*400</f>
        <v>0</v>
      </c>
      <c r="H3" s="17"/>
      <c r="I3" s="4">
        <f t="shared" ref="I3" si="5">H3*400</f>
        <v>0</v>
      </c>
    </row>
    <row r="4" spans="1:9" x14ac:dyDescent="0.25">
      <c r="A4" t="s">
        <v>150</v>
      </c>
      <c r="B4" s="32"/>
      <c r="C4" s="28"/>
      <c r="D4" s="32"/>
      <c r="E4" s="28"/>
      <c r="F4" s="32"/>
      <c r="G4" s="28"/>
      <c r="H4" s="17"/>
      <c r="I4" s="4"/>
    </row>
    <row r="5" spans="1:9" x14ac:dyDescent="0.25">
      <c r="A5" t="s">
        <v>151</v>
      </c>
      <c r="B5" s="32"/>
      <c r="C5" s="28"/>
      <c r="D5" s="32"/>
      <c r="E5" s="28"/>
      <c r="F5" s="32"/>
      <c r="G5" s="28"/>
      <c r="H5" s="17"/>
      <c r="I5" s="4"/>
    </row>
    <row r="6" spans="1:9" x14ac:dyDescent="0.25">
      <c r="A6" t="s">
        <v>141</v>
      </c>
      <c r="B6" s="32"/>
      <c r="C6" s="28"/>
      <c r="D6" s="32"/>
      <c r="E6" s="28"/>
      <c r="F6" s="32"/>
      <c r="G6" s="28"/>
      <c r="H6" s="17"/>
      <c r="I6" s="8"/>
    </row>
    <row r="7" spans="1:9" x14ac:dyDescent="0.25">
      <c r="A7" t="s">
        <v>49</v>
      </c>
      <c r="B7" s="32"/>
      <c r="C7" s="28"/>
      <c r="D7" s="32"/>
      <c r="E7" s="28"/>
      <c r="F7" s="32"/>
      <c r="G7" s="28"/>
      <c r="H7" s="17"/>
      <c r="I7" s="8"/>
    </row>
    <row r="8" spans="1:9" x14ac:dyDescent="0.25">
      <c r="A8" s="21" t="s">
        <v>145</v>
      </c>
      <c r="B8" s="32"/>
      <c r="C8" s="28"/>
      <c r="D8" s="32"/>
      <c r="E8" s="28"/>
      <c r="F8" s="32"/>
      <c r="G8" s="28"/>
      <c r="H8" s="17"/>
      <c r="I8" s="8"/>
    </row>
    <row r="9" spans="1:9" ht="15.75" thickBot="1" x14ac:dyDescent="0.3">
      <c r="A9" t="s">
        <v>118</v>
      </c>
      <c r="B9" s="33"/>
      <c r="C9" s="29"/>
      <c r="D9" s="33"/>
      <c r="E9" s="29"/>
      <c r="F9" s="33"/>
      <c r="G9" s="29"/>
      <c r="H9" s="20"/>
      <c r="I9" s="10"/>
    </row>
    <row r="10" spans="1:9" ht="15.75" thickBot="1" x14ac:dyDescent="0.3">
      <c r="A10" t="s">
        <v>119</v>
      </c>
      <c r="B10" s="34"/>
      <c r="C10" s="36">
        <f>SUM(C2:C9)</f>
        <v>0</v>
      </c>
      <c r="D10" s="37"/>
      <c r="E10" s="36">
        <f>SUM(E2:E9)</f>
        <v>0</v>
      </c>
      <c r="F10" s="37"/>
      <c r="G10" s="36">
        <f>SUM(G2:G9)</f>
        <v>0</v>
      </c>
      <c r="H10" s="22"/>
      <c r="I10" s="23">
        <f>SUM(I2:I9)</f>
        <v>0</v>
      </c>
    </row>
    <row r="11" spans="1:9" x14ac:dyDescent="0.25">
      <c r="C11" s="2"/>
      <c r="D11" s="2"/>
      <c r="E11" s="2"/>
      <c r="G11" s="2"/>
      <c r="I11" s="2"/>
    </row>
  </sheetData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E17EB-AB98-4D12-877E-8367470C39CF}">
  <dimension ref="A1:I11"/>
  <sheetViews>
    <sheetView tabSelected="1" workbookViewId="0">
      <selection activeCell="F1" sqref="F1"/>
    </sheetView>
  </sheetViews>
  <sheetFormatPr defaultRowHeight="15" x14ac:dyDescent="0.25"/>
  <cols>
    <col min="1" max="1" width="17.28515625" bestFit="1" customWidth="1"/>
    <col min="2" max="2" width="11" bestFit="1" customWidth="1"/>
    <col min="3" max="3" width="11.5703125" bestFit="1" customWidth="1"/>
    <col min="4" max="4" width="11" bestFit="1" customWidth="1"/>
    <col min="5" max="5" width="11.5703125" bestFit="1" customWidth="1"/>
    <col min="6" max="6" width="11" bestFit="1" customWidth="1"/>
    <col min="7" max="7" width="11.5703125" bestFit="1" customWidth="1"/>
    <col min="8" max="8" width="11" bestFit="1" customWidth="1"/>
    <col min="9" max="9" width="11.5703125" bestFit="1" customWidth="1"/>
  </cols>
  <sheetData>
    <row r="1" spans="1:9" ht="15.75" x14ac:dyDescent="0.25">
      <c r="A1" s="12" t="s">
        <v>106</v>
      </c>
      <c r="B1" s="24" t="s">
        <v>212</v>
      </c>
      <c r="C1" s="14"/>
      <c r="D1" s="13" t="s">
        <v>213</v>
      </c>
      <c r="E1" s="14"/>
      <c r="F1" s="24" t="s">
        <v>214</v>
      </c>
      <c r="G1" s="14"/>
      <c r="H1" s="24"/>
      <c r="I1" s="14"/>
    </row>
    <row r="2" spans="1:9" x14ac:dyDescent="0.25">
      <c r="A2" t="s">
        <v>46</v>
      </c>
      <c r="B2" s="32"/>
      <c r="C2" s="28">
        <f>B2*600</f>
        <v>0</v>
      </c>
      <c r="D2" s="32"/>
      <c r="E2" s="28">
        <f t="shared" ref="E2" si="0">D2*600</f>
        <v>0</v>
      </c>
      <c r="F2" s="32"/>
      <c r="G2" s="28">
        <f t="shared" ref="G2" si="1">F2*600</f>
        <v>0</v>
      </c>
      <c r="H2" s="17"/>
      <c r="I2" s="4">
        <f t="shared" ref="I2" si="2">H2*600</f>
        <v>0</v>
      </c>
    </row>
    <row r="3" spans="1:9" x14ac:dyDescent="0.25">
      <c r="A3" t="s">
        <v>149</v>
      </c>
      <c r="B3" s="32"/>
      <c r="C3" s="28">
        <f>B3*400</f>
        <v>0</v>
      </c>
      <c r="D3" s="32"/>
      <c r="E3" s="28">
        <f t="shared" ref="E3" si="3">D3*400</f>
        <v>0</v>
      </c>
      <c r="F3" s="32"/>
      <c r="G3" s="28">
        <f t="shared" ref="G3" si="4">F3*400</f>
        <v>0</v>
      </c>
      <c r="H3" s="17"/>
      <c r="I3" s="4">
        <f t="shared" ref="I3" si="5">H3*400</f>
        <v>0</v>
      </c>
    </row>
    <row r="4" spans="1:9" x14ac:dyDescent="0.25">
      <c r="A4" t="s">
        <v>150</v>
      </c>
      <c r="B4" s="32"/>
      <c r="C4" s="28"/>
      <c r="D4" s="32"/>
      <c r="E4" s="28"/>
      <c r="F4" s="32"/>
      <c r="G4" s="28"/>
      <c r="H4" s="17"/>
      <c r="I4" s="4"/>
    </row>
    <row r="5" spans="1:9" x14ac:dyDescent="0.25">
      <c r="A5" t="s">
        <v>151</v>
      </c>
      <c r="B5" s="32"/>
      <c r="C5" s="28"/>
      <c r="D5" s="32"/>
      <c r="E5" s="28"/>
      <c r="F5" s="32"/>
      <c r="G5" s="28"/>
      <c r="H5" s="17"/>
      <c r="I5" s="4"/>
    </row>
    <row r="6" spans="1:9" x14ac:dyDescent="0.25">
      <c r="A6" t="s">
        <v>141</v>
      </c>
      <c r="B6" s="32"/>
      <c r="C6" s="28"/>
      <c r="D6" s="32"/>
      <c r="E6" s="28"/>
      <c r="F6" s="32"/>
      <c r="G6" s="28"/>
      <c r="H6" s="17"/>
      <c r="I6" s="8"/>
    </row>
    <row r="7" spans="1:9" x14ac:dyDescent="0.25">
      <c r="A7" t="s">
        <v>49</v>
      </c>
      <c r="B7" s="32"/>
      <c r="C7" s="28"/>
      <c r="D7" s="32"/>
      <c r="E7" s="28"/>
      <c r="F7" s="32"/>
      <c r="G7" s="28"/>
      <c r="H7" s="17"/>
      <c r="I7" s="8"/>
    </row>
    <row r="8" spans="1:9" x14ac:dyDescent="0.25">
      <c r="A8" s="21" t="s">
        <v>145</v>
      </c>
      <c r="B8" s="32"/>
      <c r="C8" s="28"/>
      <c r="D8" s="32"/>
      <c r="E8" s="28"/>
      <c r="F8" s="32"/>
      <c r="G8" s="28"/>
      <c r="H8" s="17"/>
      <c r="I8" s="8"/>
    </row>
    <row r="9" spans="1:9" ht="15.75" thickBot="1" x14ac:dyDescent="0.3">
      <c r="A9" t="s">
        <v>118</v>
      </c>
      <c r="B9" s="33"/>
      <c r="C9" s="29"/>
      <c r="D9" s="33"/>
      <c r="E9" s="29"/>
      <c r="F9" s="33"/>
      <c r="G9" s="29"/>
      <c r="H9" s="20"/>
      <c r="I9" s="10"/>
    </row>
    <row r="10" spans="1:9" ht="15.75" thickBot="1" x14ac:dyDescent="0.3">
      <c r="A10" t="s">
        <v>119</v>
      </c>
      <c r="B10" s="34"/>
      <c r="C10" s="42">
        <f>SUM(C2:C9)</f>
        <v>0</v>
      </c>
      <c r="D10" s="34"/>
      <c r="E10" s="42">
        <f>SUM(E2:E9)</f>
        <v>0</v>
      </c>
      <c r="F10" s="34"/>
      <c r="G10" s="42">
        <f>SUM(G2:G9)</f>
        <v>0</v>
      </c>
      <c r="H10" s="22"/>
      <c r="I10" s="23">
        <f>SUM(I2:I9)</f>
        <v>0</v>
      </c>
    </row>
    <row r="11" spans="1:9" x14ac:dyDescent="0.25">
      <c r="C11" s="2"/>
      <c r="D11" s="2"/>
      <c r="E11" s="2"/>
      <c r="G11" s="2"/>
      <c r="I11" s="2"/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Int - Neu</vt:lpstr>
      <vt:lpstr>Surgery</vt:lpstr>
      <vt:lpstr>ped neuro</vt:lpstr>
      <vt:lpstr>Radiology</vt:lpstr>
      <vt:lpstr>GP</vt:lpstr>
      <vt:lpstr>Nurses</vt:lpstr>
      <vt:lpstr>OR ICU</vt:lpstr>
      <vt:lpstr>Labs</vt:lpstr>
      <vt:lpstr>Others</vt:lpstr>
      <vt:lpstr>Physiotherapy</vt:lpstr>
      <vt:lpstr>Construction</vt:lpstr>
      <vt:lpstr>'Int - Neu'!Print_Titles</vt:lpstr>
      <vt:lpstr>Nurses!Print_Titles</vt:lpstr>
      <vt:lpstr>'OR ICU'!Print_Titles</vt:lpstr>
      <vt:lpstr>Surgery!Print_Titles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Mehila</cp:lastModifiedBy>
  <cp:lastPrinted>2026-03-08T02:18:09Z</cp:lastPrinted>
  <dcterms:created xsi:type="dcterms:W3CDTF">2026-01-04T05:30:53Z</dcterms:created>
  <dcterms:modified xsi:type="dcterms:W3CDTF">2026-05-16T11:34:10Z</dcterms:modified>
</cp:coreProperties>
</file>